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nikus\iCloudDrive\Универ\Аспирантура\Диссертация\Опыты ВИКА 9 растений\"/>
    </mc:Choice>
  </mc:AlternateContent>
  <xr:revisionPtr revIDLastSave="0" documentId="13_ncr:1_{45A629EB-39DE-4511-B239-211F76051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асса растений" sheetId="1" r:id="rId1"/>
    <sheet name="pH растворов" sheetId="2" r:id="rId2"/>
    <sheet name="Обработка интактных растений" sheetId="3" r:id="rId3"/>
    <sheet name="Сорбция клеточной стенкой" sheetId="4" r:id="rId4"/>
    <sheet name="Десорбция" sheetId="5" r:id="rId5"/>
    <sheet name="Озоление корней" sheetId="6" r:id="rId6"/>
    <sheet name="Озоление побегов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7" l="1"/>
  <c r="B8" i="7"/>
  <c r="B7" i="7"/>
  <c r="B6" i="7"/>
  <c r="B5" i="7"/>
  <c r="B4" i="7"/>
  <c r="B8" i="6"/>
  <c r="B7" i="6"/>
  <c r="B6" i="6"/>
  <c r="B5" i="6"/>
  <c r="B4" i="6"/>
  <c r="B3" i="6"/>
  <c r="M14" i="6"/>
  <c r="M13" i="6"/>
  <c r="L12" i="1"/>
  <c r="B23" i="1" l="1"/>
  <c r="B24" i="1"/>
  <c r="B25" i="1"/>
  <c r="B26" i="1"/>
  <c r="B27" i="1"/>
  <c r="B22" i="1"/>
  <c r="B17" i="7" l="1"/>
  <c r="B18" i="7"/>
  <c r="B19" i="7"/>
  <c r="B20" i="7"/>
  <c r="B16" i="7"/>
  <c r="F9" i="7"/>
  <c r="G9" i="7" s="1"/>
  <c r="F8" i="7"/>
  <c r="G8" i="7" s="1"/>
  <c r="F7" i="7"/>
  <c r="G7" i="7" s="1"/>
  <c r="F6" i="7"/>
  <c r="G6" i="7" s="1"/>
  <c r="F5" i="7"/>
  <c r="G5" i="7" s="1"/>
  <c r="F4" i="7"/>
  <c r="G4" i="7" s="1"/>
  <c r="H9" i="7" l="1"/>
  <c r="I9" i="7" s="1"/>
  <c r="H8" i="7"/>
  <c r="I8" i="7" s="1"/>
  <c r="J8" i="7" s="1"/>
  <c r="H7" i="7"/>
  <c r="I7" i="7" s="1"/>
  <c r="J7" i="7" s="1"/>
  <c r="H4" i="7"/>
  <c r="I4" i="7" s="1"/>
  <c r="J4" i="7" s="1"/>
  <c r="H6" i="7"/>
  <c r="I6" i="7" s="1"/>
  <c r="K6" i="7" s="1"/>
  <c r="H5" i="7"/>
  <c r="I5" i="7" s="1"/>
  <c r="B15" i="6"/>
  <c r="B16" i="6"/>
  <c r="B17" i="6"/>
  <c r="B18" i="6"/>
  <c r="B14" i="6"/>
  <c r="F8" i="6"/>
  <c r="G8" i="6" s="1"/>
  <c r="F7" i="6"/>
  <c r="G7" i="6" s="1"/>
  <c r="F6" i="6"/>
  <c r="G6" i="6" s="1"/>
  <c r="F5" i="6"/>
  <c r="G5" i="6" s="1"/>
  <c r="F4" i="6"/>
  <c r="G4" i="6" s="1"/>
  <c r="F3" i="6"/>
  <c r="G3" i="6" s="1"/>
  <c r="J5" i="7" l="1"/>
  <c r="K5" i="7"/>
  <c r="K8" i="7"/>
  <c r="K9" i="7"/>
  <c r="J9" i="7"/>
  <c r="N7" i="7" s="1"/>
  <c r="K7" i="7"/>
  <c r="K4" i="7"/>
  <c r="O4" i="7" s="1"/>
  <c r="J6" i="7"/>
  <c r="N4" i="7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O7" i="7" l="1"/>
  <c r="J8" i="6"/>
  <c r="K8" i="6"/>
  <c r="J7" i="6"/>
  <c r="K7" i="6"/>
  <c r="J6" i="6"/>
  <c r="K6" i="6"/>
  <c r="O6" i="6" s="1"/>
  <c r="J5" i="6"/>
  <c r="K5" i="6"/>
  <c r="J4" i="6"/>
  <c r="K4" i="6"/>
  <c r="K3" i="6"/>
  <c r="J3" i="6"/>
  <c r="G6" i="1"/>
  <c r="G7" i="1"/>
  <c r="G8" i="1"/>
  <c r="G9" i="1"/>
  <c r="G10" i="1"/>
  <c r="G11" i="1"/>
  <c r="F11" i="1" s="1"/>
  <c r="H11" i="1" s="1"/>
  <c r="G12" i="1"/>
  <c r="F12" i="1" s="1"/>
  <c r="G13" i="1"/>
  <c r="F13" i="1" s="1"/>
  <c r="G14" i="1"/>
  <c r="G15" i="1"/>
  <c r="F15" i="1" s="1"/>
  <c r="G16" i="1"/>
  <c r="F16" i="1" s="1"/>
  <c r="G5" i="1"/>
  <c r="I5" i="1" s="1"/>
  <c r="K6" i="1" s="1"/>
  <c r="C22" i="1" l="1"/>
  <c r="C24" i="1"/>
  <c r="C23" i="1"/>
  <c r="E23" i="1" s="1"/>
  <c r="I14" i="1"/>
  <c r="F14" i="1"/>
  <c r="H14" i="1" s="1"/>
  <c r="I8" i="1"/>
  <c r="K9" i="1" s="1"/>
  <c r="N6" i="6"/>
  <c r="N3" i="6"/>
  <c r="I11" i="1"/>
  <c r="K12" i="1" s="1"/>
  <c r="K11" i="1" s="1"/>
  <c r="O3" i="6"/>
  <c r="E22" i="1"/>
  <c r="E24" i="1"/>
  <c r="C26" i="1" l="1"/>
  <c r="E26" i="1" s="1"/>
  <c r="C27" i="1"/>
  <c r="E27" i="1" s="1"/>
  <c r="C25" i="1"/>
  <c r="E25" i="1" s="1"/>
  <c r="F6" i="1"/>
  <c r="F7" i="1"/>
  <c r="F8" i="1"/>
  <c r="F9" i="1"/>
  <c r="F10" i="1"/>
  <c r="H8" i="1" s="1"/>
  <c r="K8" i="1" s="1"/>
  <c r="L9" i="1" s="1"/>
  <c r="F5" i="1"/>
  <c r="H5" i="1" s="1"/>
  <c r="K5" i="1" l="1"/>
  <c r="L6" i="1" s="1"/>
  <c r="C20" i="1"/>
  <c r="E20" i="1" s="1"/>
  <c r="C21" i="1"/>
  <c r="E21" i="1" s="1"/>
  <c r="C19" i="1"/>
  <c r="E19" i="1" s="1"/>
  <c r="B22" i="5"/>
  <c r="B21" i="5"/>
  <c r="B20" i="5"/>
  <c r="B19" i="5"/>
  <c r="B18" i="5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H9" i="5" l="1"/>
  <c r="I9" i="5" s="1"/>
  <c r="H8" i="5"/>
  <c r="I8" i="5" s="1"/>
  <c r="L8" i="5" s="1"/>
  <c r="H6" i="5"/>
  <c r="I6" i="5" s="1"/>
  <c r="K6" i="5" s="1"/>
  <c r="H4" i="5"/>
  <c r="I4" i="5" s="1"/>
  <c r="H10" i="5"/>
  <c r="I10" i="5" s="1"/>
  <c r="L10" i="5" s="1"/>
  <c r="H11" i="5"/>
  <c r="I11" i="5" s="1"/>
  <c r="L11" i="5" s="1"/>
  <c r="H5" i="5"/>
  <c r="I5" i="5" s="1"/>
  <c r="K5" i="5" s="1"/>
  <c r="H7" i="5"/>
  <c r="I7" i="5" s="1"/>
  <c r="H3" i="5"/>
  <c r="I3" i="5" s="1"/>
  <c r="B17" i="4"/>
  <c r="B18" i="4"/>
  <c r="B19" i="4"/>
  <c r="B20" i="4"/>
  <c r="B16" i="4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J6" i="5" l="1"/>
  <c r="L6" i="5"/>
  <c r="K11" i="5"/>
  <c r="J11" i="5"/>
  <c r="K10" i="5"/>
  <c r="K9" i="5"/>
  <c r="J9" i="5"/>
  <c r="L9" i="5"/>
  <c r="R9" i="5" s="1"/>
  <c r="J8" i="5"/>
  <c r="K8" i="5"/>
  <c r="J4" i="5"/>
  <c r="K4" i="5"/>
  <c r="L4" i="5"/>
  <c r="J5" i="5"/>
  <c r="L5" i="5"/>
  <c r="J10" i="5"/>
  <c r="L7" i="5"/>
  <c r="R6" i="5" s="1"/>
  <c r="K7" i="5"/>
  <c r="J7" i="5"/>
  <c r="K3" i="5"/>
  <c r="J3" i="5"/>
  <c r="L3" i="5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11" i="4"/>
  <c r="I11" i="4" s="1"/>
  <c r="H12" i="4"/>
  <c r="I12" i="4" s="1"/>
  <c r="Q3" i="5" l="1"/>
  <c r="Q9" i="5"/>
  <c r="P6" i="5"/>
  <c r="P9" i="5"/>
  <c r="R3" i="5"/>
  <c r="Q6" i="5"/>
  <c r="P3" i="5"/>
  <c r="B22" i="3" l="1"/>
  <c r="B23" i="3"/>
  <c r="B24" i="3"/>
  <c r="B25" i="3"/>
  <c r="B21" i="3"/>
  <c r="F16" i="3"/>
  <c r="G16" i="3" s="1"/>
  <c r="F15" i="3"/>
  <c r="G15" i="3" s="1"/>
  <c r="F6" i="3"/>
  <c r="G6" i="3" s="1"/>
  <c r="F5" i="3"/>
  <c r="F4" i="3"/>
  <c r="G4" i="3" s="1"/>
  <c r="G5" i="3" l="1"/>
  <c r="H5" i="3" s="1"/>
  <c r="I5" i="3" s="1"/>
  <c r="H16" i="3"/>
  <c r="I16" i="3" s="1"/>
  <c r="H15" i="3"/>
  <c r="I15" i="3" s="1"/>
  <c r="H6" i="3"/>
  <c r="I6" i="3" s="1"/>
  <c r="H4" i="3"/>
  <c r="I4" i="3" s="1"/>
  <c r="J5" i="4" l="1"/>
  <c r="K5" i="4" s="1"/>
  <c r="J9" i="4"/>
  <c r="K9" i="4" s="1"/>
  <c r="J4" i="4"/>
  <c r="K4" i="4" s="1"/>
  <c r="J6" i="4"/>
  <c r="K6" i="4" s="1"/>
  <c r="J7" i="4"/>
  <c r="K7" i="4" s="1"/>
  <c r="J8" i="4"/>
  <c r="K8" i="4" s="1"/>
  <c r="J10" i="4"/>
  <c r="K10" i="4" s="1"/>
  <c r="J11" i="4"/>
  <c r="K11" i="4" s="1"/>
  <c r="J12" i="4"/>
  <c r="K12" i="4" s="1"/>
  <c r="J5" i="3"/>
  <c r="K5" i="3" s="1"/>
  <c r="J6" i="3"/>
  <c r="K6" i="3" s="1"/>
  <c r="J4" i="3"/>
  <c r="K4" i="3" s="1"/>
  <c r="M4" i="3" s="1"/>
  <c r="L5" i="3" l="1"/>
  <c r="M5" i="3"/>
  <c r="M8" i="4"/>
  <c r="L8" i="4"/>
  <c r="N8" i="4"/>
  <c r="M6" i="4"/>
  <c r="L6" i="4"/>
  <c r="N6" i="4"/>
  <c r="L12" i="4"/>
  <c r="M12" i="4"/>
  <c r="N12" i="4"/>
  <c r="N4" i="4"/>
  <c r="L4" i="4"/>
  <c r="M4" i="4"/>
  <c r="N10" i="4"/>
  <c r="M10" i="4"/>
  <c r="L10" i="4"/>
  <c r="N9" i="4"/>
  <c r="M9" i="4"/>
  <c r="L9" i="4"/>
  <c r="M11" i="4"/>
  <c r="N11" i="4"/>
  <c r="L11" i="4"/>
  <c r="N7" i="4"/>
  <c r="M7" i="4"/>
  <c r="L7" i="4"/>
  <c r="N5" i="4"/>
  <c r="L5" i="4"/>
  <c r="M5" i="4"/>
  <c r="L4" i="3"/>
  <c r="M6" i="3"/>
  <c r="Q4" i="3" s="1"/>
  <c r="L6" i="3"/>
  <c r="P4" i="3"/>
  <c r="S10" i="4" l="1"/>
  <c r="T10" i="4"/>
  <c r="R7" i="4"/>
  <c r="R10" i="4"/>
  <c r="S7" i="4"/>
  <c r="R4" i="4"/>
  <c r="S4" i="4"/>
  <c r="T7" i="4"/>
  <c r="T4" i="4"/>
</calcChain>
</file>

<file path=xl/sharedStrings.xml><?xml version="1.0" encoding="utf-8"?>
<sst xmlns="http://schemas.openxmlformats.org/spreadsheetml/2006/main" count="218" uniqueCount="90">
  <si>
    <t>№</t>
  </si>
  <si>
    <t>FW корня</t>
  </si>
  <si>
    <t>FW побега</t>
  </si>
  <si>
    <t>DW корня</t>
  </si>
  <si>
    <t>DW побега</t>
  </si>
  <si>
    <t>DW кл.ст.</t>
  </si>
  <si>
    <t>На озоление</t>
  </si>
  <si>
    <t>контроль 1</t>
  </si>
  <si>
    <t>контроль 2</t>
  </si>
  <si>
    <t>контроль 3</t>
  </si>
  <si>
    <r>
      <t>CuCl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1</t>
    </r>
  </si>
  <si>
    <r>
      <t>CuCl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charset val="204"/>
        <scheme val="minor"/>
      </rPr>
      <t/>
    </r>
  </si>
  <si>
    <r>
      <t>CuCl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charset val="204"/>
        <scheme val="minor"/>
      </rPr>
      <t/>
    </r>
  </si>
  <si>
    <t>На выделение клеточной стенки</t>
  </si>
  <si>
    <t>1. Масса 9 растений</t>
  </si>
  <si>
    <t>pH</t>
  </si>
  <si>
    <t>CuCl2 (1)</t>
  </si>
  <si>
    <t>Исходные</t>
  </si>
  <si>
    <t>После обработки 9 растений</t>
  </si>
  <si>
    <t>После сорбции клеточной стенкой</t>
  </si>
  <si>
    <t>V общ</t>
  </si>
  <si>
    <t>Vал.</t>
  </si>
  <si>
    <t>D600 1</t>
  </si>
  <si>
    <t>D600 2</t>
  </si>
  <si>
    <t>D600 Ср</t>
  </si>
  <si>
    <t>мкг/мл</t>
  </si>
  <si>
    <t>мкмоль/мл</t>
  </si>
  <si>
    <t>мкмоль общ</t>
  </si>
  <si>
    <t>мкмоль общ. Ис. Р-ры</t>
  </si>
  <si>
    <t>Разница исх. - посл. Сорбц</t>
  </si>
  <si>
    <t>Сырая масса корней</t>
  </si>
  <si>
    <t>Сухая масса корней</t>
  </si>
  <si>
    <t>Среднее поглощение на грамм сырой массы корня</t>
  </si>
  <si>
    <t>Среднее поглощение на грамм сухой массы корня</t>
  </si>
  <si>
    <r>
      <t>CuCl</t>
    </r>
    <r>
      <rPr>
        <vertAlign val="subscript"/>
        <sz val="16"/>
        <color theme="1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10 1</t>
    </r>
  </si>
  <si>
    <r>
      <t>CuCl</t>
    </r>
    <r>
      <rPr>
        <vertAlign val="subscript"/>
        <sz val="16"/>
        <color theme="1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10 2</t>
    </r>
    <r>
      <rPr>
        <sz val="11"/>
        <color theme="1"/>
        <rFont val="Calibri"/>
        <family val="2"/>
        <charset val="204"/>
        <scheme val="minor"/>
      </rPr>
      <t/>
    </r>
  </si>
  <si>
    <r>
      <t>CuCl</t>
    </r>
    <r>
      <rPr>
        <vertAlign val="subscript"/>
        <sz val="16"/>
        <color theme="1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10 3</t>
    </r>
    <r>
      <rPr>
        <sz val="11"/>
        <color theme="1"/>
        <rFont val="Calibri"/>
        <family val="2"/>
        <charset val="204"/>
        <scheme val="minor"/>
      </rPr>
      <t/>
    </r>
  </si>
  <si>
    <t>Исходные растворы</t>
  </si>
  <si>
    <t>CuCl 10 1</t>
  </si>
  <si>
    <t>Калибровка</t>
  </si>
  <si>
    <t>мкг/проба</t>
  </si>
  <si>
    <t>D 600</t>
  </si>
  <si>
    <t>Сорбция на г сырой массы</t>
  </si>
  <si>
    <t>Сорбция на г сухой массы</t>
  </si>
  <si>
    <t>Сорбция на г DW кл ст</t>
  </si>
  <si>
    <t>DW кл ст</t>
  </si>
  <si>
    <t>Средняя сорбция на грамм сухой массы корня</t>
  </si>
  <si>
    <t xml:space="preserve">Калибровка </t>
  </si>
  <si>
    <t>L=50</t>
  </si>
  <si>
    <t>10мкг/мл</t>
  </si>
  <si>
    <t>V ал</t>
  </si>
  <si>
    <t>D600</t>
  </si>
  <si>
    <t>L=10</t>
  </si>
  <si>
    <t>Оводненность корней</t>
  </si>
  <si>
    <t>Оводненность побегов</t>
  </si>
  <si>
    <t>Массовая доля</t>
  </si>
  <si>
    <t>Средняя сорбция на грамм сухой массы кл.ст</t>
  </si>
  <si>
    <t>Концентрация меди на г сырой массы корня</t>
  </si>
  <si>
    <t>Концентрация меди на г сухой массы корня</t>
  </si>
  <si>
    <t>Контроль 1</t>
  </si>
  <si>
    <t>Контроль 2</t>
  </si>
  <si>
    <t>Контроль 3</t>
  </si>
  <si>
    <t>L=30</t>
  </si>
  <si>
    <t>Концентрация меди на г сырой массы побега</t>
  </si>
  <si>
    <t>Концентрация меди на г сухой массы побега</t>
  </si>
  <si>
    <t>Сырая масса побегов</t>
  </si>
  <si>
    <t>Сухая масса побегов</t>
  </si>
  <si>
    <t>П/о Gln 1 mM</t>
  </si>
  <si>
    <t>П/о Gln 5 mM</t>
  </si>
  <si>
    <t>П/о Gln 1 mM 1</t>
  </si>
  <si>
    <t>П/о Gln 1 mM 2</t>
  </si>
  <si>
    <t>П/о Gln 1 mM 3</t>
  </si>
  <si>
    <t>П/о Gln 5 mM 1</t>
  </si>
  <si>
    <t>П/о Gln 5 mM 2</t>
  </si>
  <si>
    <t>П/о Gln 5 mM 3</t>
  </si>
  <si>
    <t xml:space="preserve">CuCl2 (2) </t>
  </si>
  <si>
    <t>CuCl2 1</t>
  </si>
  <si>
    <t>CuCl2 2</t>
  </si>
  <si>
    <t>CuCl2 3</t>
  </si>
  <si>
    <t>CuCl 10 2</t>
  </si>
  <si>
    <t>Поглощение мкМ меди на г сырой массы корня</t>
  </si>
  <si>
    <t>Поглощение мкМ меди на г сухой массы корня</t>
  </si>
  <si>
    <t>Среднее поглощение мкМ меди на грамм сырой массы корня</t>
  </si>
  <si>
    <t>Среднее поглощение мкМ меди на грамм сухой массы корня</t>
  </si>
  <si>
    <t>Ср. Оводненность корней</t>
  </si>
  <si>
    <t>Ср. Оводненность побегов</t>
  </si>
  <si>
    <t>1(7)100</t>
  </si>
  <si>
    <t>1(6)100</t>
  </si>
  <si>
    <t>Контроль 2 !!</t>
  </si>
  <si>
    <t>!! - Пролил при переносе, в расчетах не учитывал.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</si>
</sst>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Times New Roman"/>
      <family val="1"/>
      <charset val="204"/>
    </font>
    <font>
      <vertAlign val="subscript"/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  <font>
      <sz val="11"/>
      <color theme="1"/>
      <name val="Calibri"/>
      <family val="2"/>
      <scheme val="minor"/>
    </font>
    <font>
      <sz val="16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Fill="1" applyBorder="1"/>
    <xf numFmtId="164" fontId="5" fillId="0" borderId="1" xfId="0" applyNumberFormat="1" applyFont="1" applyBorder="1" applyAlignment="1">
      <alignment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0" fontId="5" fillId="0" borderId="4" xfId="0" applyFont="1" applyFill="1" applyBorder="1"/>
    <xf numFmtId="0" fontId="5" fillId="0" borderId="0" xfId="0" applyFont="1"/>
    <xf numFmtId="0" fontId="5" fillId="0" borderId="0" xfId="0" applyFont="1" applyAlignment="1">
      <alignment wrapText="1"/>
    </xf>
    <xf numFmtId="164" fontId="5" fillId="0" borderId="1" xfId="0" applyNumberFormat="1" applyFont="1" applyBorder="1"/>
    <xf numFmtId="0" fontId="7" fillId="0" borderId="1" xfId="0" applyFont="1" applyBorder="1"/>
    <xf numFmtId="1" fontId="7" fillId="0" borderId="1" xfId="0" applyNumberFormat="1" applyFont="1" applyBorder="1" applyAlignment="1">
      <alignment wrapText="1"/>
    </xf>
    <xf numFmtId="165" fontId="7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/>
    <xf numFmtId="2" fontId="5" fillId="0" borderId="1" xfId="0" applyNumberFormat="1" applyFont="1" applyBorder="1" applyAlignment="1">
      <alignment wrapText="1"/>
    </xf>
    <xf numFmtId="2" fontId="0" fillId="0" borderId="0" xfId="0" applyNumberFormat="1"/>
    <xf numFmtId="9" fontId="0" fillId="0" borderId="0" xfId="0" applyNumberFormat="1"/>
    <xf numFmtId="9" fontId="0" fillId="0" borderId="0" xfId="1" applyFont="1"/>
    <xf numFmtId="164" fontId="5" fillId="0" borderId="0" xfId="0" applyNumberFormat="1" applyFont="1" applyFill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165" fontId="9" fillId="0" borderId="1" xfId="0" applyNumberFormat="1" applyFont="1" applyBorder="1" applyAlignment="1">
      <alignment wrapText="1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164" fontId="5" fillId="0" borderId="3" xfId="0" applyNumberFormat="1" applyFont="1" applyBorder="1" applyAlignment="1">
      <alignment horizontal="center" wrapText="1"/>
    </xf>
    <xf numFmtId="164" fontId="5" fillId="0" borderId="4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'Обработка интактных растений'!$A$19</c:f>
              <c:strCache>
                <c:ptCount val="1"/>
                <c:pt idx="0">
                  <c:v>Калибровка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468197725284339"/>
                  <c:y val="-0.175602216389617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'Обработка интактных растений'!$C$21:$C$25</c:f>
              <c:numCache>
                <c:formatCode>General</c:formatCode>
                <c:ptCount val="5"/>
                <c:pt idx="0">
                  <c:v>4.2999999999999997E-2</c:v>
                </c:pt>
                <c:pt idx="1">
                  <c:v>9.2999999999999999E-2</c:v>
                </c:pt>
                <c:pt idx="2">
                  <c:v>0.151</c:v>
                </c:pt>
                <c:pt idx="3">
                  <c:v>0.20599999999999999</c:v>
                </c:pt>
                <c:pt idx="4">
                  <c:v>0.25800000000000001</c:v>
                </c:pt>
              </c:numCache>
            </c:numRef>
          </c:xVal>
          <c:yVal>
            <c:numRef>
              <c:f>'Обработка интактных растений'!$B$21:$B$25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D0-42AD-9620-FFDD40F5B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99768"/>
        <c:axId val="337800152"/>
      </c:scatterChart>
      <c:valAx>
        <c:axId val="33779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800152"/>
        <c:crosses val="autoZero"/>
        <c:crossBetween val="midCat"/>
      </c:valAx>
      <c:valAx>
        <c:axId val="33780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799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'Сорбция клеточной стенкой'!$A$14</c:f>
              <c:strCache>
                <c:ptCount val="1"/>
                <c:pt idx="0">
                  <c:v>Калибровка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213670166229218"/>
                  <c:y val="-0.181289370078740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'Сорбция клеточной стенкой'!$C$16:$C$20</c:f>
              <c:numCache>
                <c:formatCode>General</c:formatCode>
                <c:ptCount val="5"/>
                <c:pt idx="0">
                  <c:v>4.4999999999999998E-2</c:v>
                </c:pt>
                <c:pt idx="1">
                  <c:v>9.8000000000000004E-2</c:v>
                </c:pt>
                <c:pt idx="2">
                  <c:v>0.151</c:v>
                </c:pt>
                <c:pt idx="3">
                  <c:v>0.20799999999999999</c:v>
                </c:pt>
                <c:pt idx="4">
                  <c:v>0.26100000000000001</c:v>
                </c:pt>
              </c:numCache>
            </c:numRef>
          </c:xVal>
          <c:yVal>
            <c:numRef>
              <c:f>'Сорбция клеточной стенкой'!$B$16:$B$20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B-4D6D-9941-6A97C33EC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33168"/>
        <c:axId val="338033432"/>
      </c:scatterChart>
      <c:valAx>
        <c:axId val="2988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033432"/>
        <c:crosses val="autoZero"/>
        <c:crossBetween val="midCat"/>
      </c:valAx>
      <c:valAx>
        <c:axId val="33803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883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Десорбция!$A$16</c:f>
              <c:strCache>
                <c:ptCount val="1"/>
                <c:pt idx="0">
                  <c:v>Калибровка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357130358705162"/>
                  <c:y val="-0.179111986001749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Десорбция!$C$18:$C$23</c:f>
              <c:numCache>
                <c:formatCode>General</c:formatCode>
                <c:ptCount val="6"/>
                <c:pt idx="0">
                  <c:v>0.106</c:v>
                </c:pt>
                <c:pt idx="1">
                  <c:v>0.16300000000000001</c:v>
                </c:pt>
                <c:pt idx="2">
                  <c:v>0.22</c:v>
                </c:pt>
                <c:pt idx="3">
                  <c:v>0.26900000000000002</c:v>
                </c:pt>
                <c:pt idx="4">
                  <c:v>0.32600000000000001</c:v>
                </c:pt>
              </c:numCache>
            </c:numRef>
          </c:xVal>
          <c:yVal>
            <c:numRef>
              <c:f>Десорбция!$B$18:$B$22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9-4D0B-BB4E-ADD7057A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249672"/>
        <c:axId val="338250056"/>
      </c:scatterChart>
      <c:valAx>
        <c:axId val="33824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250056"/>
        <c:crosses val="autoZero"/>
        <c:crossBetween val="midCat"/>
      </c:valAx>
      <c:valAx>
        <c:axId val="33825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249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'Озоление корней'!$C$14</c:f>
              <c:strCache>
                <c:ptCount val="1"/>
                <c:pt idx="0">
                  <c:v>0,029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761001749781278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'Озоление корней'!$C$14:$C$18</c:f>
              <c:numCache>
                <c:formatCode>General</c:formatCode>
                <c:ptCount val="5"/>
                <c:pt idx="0">
                  <c:v>2.9000000000000001E-2</c:v>
                </c:pt>
                <c:pt idx="1">
                  <c:v>0.1</c:v>
                </c:pt>
                <c:pt idx="2">
                  <c:v>0.17</c:v>
                </c:pt>
                <c:pt idx="3">
                  <c:v>0.22900000000000001</c:v>
                </c:pt>
                <c:pt idx="4">
                  <c:v>0.314</c:v>
                </c:pt>
              </c:numCache>
            </c:numRef>
          </c:xVal>
          <c:yVal>
            <c:numRef>
              <c:f>'Озоление корней'!$B$14:$B$18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1-4652-B03C-31ABF5D1E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257552"/>
        <c:axId val="338257936"/>
      </c:scatterChart>
      <c:valAx>
        <c:axId val="3382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257936"/>
        <c:crosses val="autoZero"/>
        <c:crossBetween val="midCat"/>
      </c:valAx>
      <c:valAx>
        <c:axId val="3382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25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35651793525805"/>
                  <c:y val="-0.193884149897929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'Озоление побегов'!$C$16:$C$20</c:f>
              <c:numCache>
                <c:formatCode>General</c:formatCode>
                <c:ptCount val="5"/>
                <c:pt idx="0">
                  <c:v>4.5999999999999999E-2</c:v>
                </c:pt>
                <c:pt idx="1">
                  <c:v>0.10100000000000001</c:v>
                </c:pt>
                <c:pt idx="2">
                  <c:v>0.16500000000000001</c:v>
                </c:pt>
                <c:pt idx="3">
                  <c:v>0.222</c:v>
                </c:pt>
                <c:pt idx="4">
                  <c:v>0.28000000000000003</c:v>
                </c:pt>
              </c:numCache>
            </c:numRef>
          </c:xVal>
          <c:yVal>
            <c:numRef>
              <c:f>'Озоление побегов'!$B$16:$B$20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A-4BE1-A63F-FBE10E110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216744"/>
        <c:axId val="337217136"/>
      </c:scatterChart>
      <c:valAx>
        <c:axId val="33721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217136"/>
        <c:crosses val="autoZero"/>
        <c:crossBetween val="midCat"/>
      </c:valAx>
      <c:valAx>
        <c:axId val="3372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21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20</xdr:row>
      <xdr:rowOff>19050</xdr:rowOff>
    </xdr:from>
    <xdr:to>
      <xdr:col>10</xdr:col>
      <xdr:colOff>142875</xdr:colOff>
      <xdr:row>34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D3279B2-FA2E-42B5-85CB-A1418179F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13</xdr:row>
      <xdr:rowOff>223837</xdr:rowOff>
    </xdr:from>
    <xdr:to>
      <xdr:col>10</xdr:col>
      <xdr:colOff>381000</xdr:colOff>
      <xdr:row>23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5EB7BB-AEE5-4866-A7ED-0DFCA16E0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15</xdr:row>
      <xdr:rowOff>223837</xdr:rowOff>
    </xdr:from>
    <xdr:to>
      <xdr:col>10</xdr:col>
      <xdr:colOff>762000</xdr:colOff>
      <xdr:row>26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CF8521B-559D-43AE-92FA-608570F66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12</xdr:row>
      <xdr:rowOff>42862</xdr:rowOff>
    </xdr:from>
    <xdr:to>
      <xdr:col>9</xdr:col>
      <xdr:colOff>628650</xdr:colOff>
      <xdr:row>26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1CF8C0-6B40-4B70-A807-6FC1C6936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10</xdr:row>
      <xdr:rowOff>176212</xdr:rowOff>
    </xdr:from>
    <xdr:to>
      <xdr:col>8</xdr:col>
      <xdr:colOff>57150</xdr:colOff>
      <xdr:row>23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FCACD0-C356-4BD1-B33D-8F0CA09ED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R32" sqref="R32"/>
    </sheetView>
  </sheetViews>
  <sheetFormatPr defaultRowHeight="15" x14ac:dyDescent="0.25"/>
  <cols>
    <col min="1" max="1" width="14.140625" customWidth="1"/>
    <col min="2" max="2" width="11.7109375" customWidth="1"/>
    <col min="3" max="3" width="11.42578125" customWidth="1"/>
    <col min="4" max="4" width="11" customWidth="1"/>
    <col min="5" max="5" width="10.7109375" customWidth="1"/>
    <col min="6" max="6" width="14.28515625" customWidth="1"/>
    <col min="7" max="7" width="14" customWidth="1"/>
    <col min="8" max="8" width="17.85546875" customWidth="1"/>
    <col min="9" max="9" width="19.7109375" customWidth="1"/>
  </cols>
  <sheetData>
    <row r="1" spans="1:12" ht="26.25" x14ac:dyDescent="0.4">
      <c r="A1" s="2" t="s">
        <v>14</v>
      </c>
    </row>
    <row r="3" spans="1:12" ht="3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s="19" t="s">
        <v>53</v>
      </c>
      <c r="G3" s="19" t="s">
        <v>54</v>
      </c>
      <c r="H3" s="19" t="s">
        <v>84</v>
      </c>
      <c r="I3" s="19" t="s">
        <v>85</v>
      </c>
      <c r="J3" s="19"/>
    </row>
    <row r="4" spans="1:12" x14ac:dyDescent="0.25">
      <c r="A4" s="31" t="s">
        <v>6</v>
      </c>
      <c r="B4" s="31"/>
      <c r="C4" s="31"/>
      <c r="D4" s="31"/>
      <c r="E4" s="31"/>
      <c r="F4" s="31"/>
      <c r="G4" s="31"/>
      <c r="H4" s="31"/>
      <c r="I4" s="31"/>
    </row>
    <row r="5" spans="1:12" x14ac:dyDescent="0.25">
      <c r="A5" t="s">
        <v>7</v>
      </c>
      <c r="B5">
        <v>1.0415000000000001</v>
      </c>
      <c r="C5">
        <v>1.5451999999999999</v>
      </c>
      <c r="D5">
        <v>5.8400000000000001E-2</v>
      </c>
      <c r="E5">
        <v>0.15140000000000001</v>
      </c>
      <c r="F5">
        <f>(B5-D5)/D5</f>
        <v>16.833904109589042</v>
      </c>
      <c r="G5">
        <f>(C5-E5)/E5</f>
        <v>9.2060766182298543</v>
      </c>
      <c r="H5" s="31">
        <f>AVERAGE(F5:F7)</f>
        <v>16.365952152232346</v>
      </c>
      <c r="I5" s="31">
        <f>AVERAGE(G5:G7)</f>
        <v>9.1006399651887886</v>
      </c>
      <c r="K5">
        <f>H5+I5</f>
        <v>25.466592117421136</v>
      </c>
      <c r="L5" s="23">
        <v>1</v>
      </c>
    </row>
    <row r="6" spans="1:12" x14ac:dyDescent="0.25">
      <c r="A6" t="s">
        <v>8</v>
      </c>
      <c r="B6">
        <v>1.2404999999999999</v>
      </c>
      <c r="C6">
        <v>1.9359999999999999</v>
      </c>
      <c r="D6">
        <v>7.3499999999999996E-2</v>
      </c>
      <c r="E6">
        <v>0.19719999999999999</v>
      </c>
      <c r="F6">
        <f t="shared" ref="F6:F10" si="0">(B6-D6)/D6</f>
        <v>15.877551020408164</v>
      </c>
      <c r="G6">
        <f t="shared" ref="G6:G16" si="1">(C6-E6)/E6</f>
        <v>8.8174442190669371</v>
      </c>
      <c r="H6" s="31"/>
      <c r="I6" s="31"/>
      <c r="K6">
        <f>I5</f>
        <v>9.1006399651887886</v>
      </c>
      <c r="L6" s="24">
        <f>K6*L5/K5</f>
        <v>0.35735601855276272</v>
      </c>
    </row>
    <row r="7" spans="1:12" x14ac:dyDescent="0.25">
      <c r="A7" t="s">
        <v>9</v>
      </c>
      <c r="B7">
        <v>1.0484</v>
      </c>
      <c r="C7">
        <v>1.7463</v>
      </c>
      <c r="D7">
        <v>6.0299999999999999E-2</v>
      </c>
      <c r="E7">
        <v>0.1699</v>
      </c>
      <c r="F7">
        <f t="shared" si="0"/>
        <v>16.386401326699833</v>
      </c>
      <c r="G7">
        <f t="shared" si="1"/>
        <v>9.2783990582695708</v>
      </c>
      <c r="H7" s="31"/>
      <c r="I7" s="31"/>
    </row>
    <row r="8" spans="1:12" ht="18" x14ac:dyDescent="0.35">
      <c r="A8" t="s">
        <v>10</v>
      </c>
      <c r="B8">
        <v>0.97419999999999995</v>
      </c>
      <c r="C8">
        <v>1.8073999999999999</v>
      </c>
      <c r="D8">
        <v>5.9900000000000002E-2</v>
      </c>
      <c r="E8">
        <v>0.183</v>
      </c>
      <c r="F8">
        <f t="shared" si="0"/>
        <v>15.263772954924875</v>
      </c>
      <c r="G8">
        <f t="shared" si="1"/>
        <v>8.8765027322404357</v>
      </c>
      <c r="H8" s="31">
        <f t="shared" ref="H8:I8" si="2">AVERAGE(F8:F10)</f>
        <v>15.689076471796895</v>
      </c>
      <c r="I8" s="31">
        <f t="shared" si="2"/>
        <v>9.0509234582748483</v>
      </c>
      <c r="K8">
        <f>H8+I8</f>
        <v>24.739999930071743</v>
      </c>
      <c r="L8" s="23">
        <v>1</v>
      </c>
    </row>
    <row r="9" spans="1:12" ht="18" x14ac:dyDescent="0.35">
      <c r="A9" t="s">
        <v>11</v>
      </c>
      <c r="B9">
        <v>1.0637000000000001</v>
      </c>
      <c r="C9">
        <v>1.9542999999999999</v>
      </c>
      <c r="D9">
        <v>6.4199999999999993E-2</v>
      </c>
      <c r="E9">
        <v>0.1961</v>
      </c>
      <c r="F9">
        <f t="shared" si="0"/>
        <v>15.568535825545174</v>
      </c>
      <c r="G9">
        <f t="shared" si="1"/>
        <v>8.965833758286589</v>
      </c>
      <c r="H9" s="31"/>
      <c r="I9" s="31"/>
      <c r="K9">
        <f>I8</f>
        <v>9.0509234582748483</v>
      </c>
      <c r="L9" s="24">
        <f>K9*L8/K8</f>
        <v>0.3658416929610962</v>
      </c>
    </row>
    <row r="10" spans="1:12" ht="18" x14ac:dyDescent="0.35">
      <c r="A10" t="s">
        <v>12</v>
      </c>
      <c r="B10">
        <v>1.0858000000000001</v>
      </c>
      <c r="C10">
        <v>1.9961</v>
      </c>
      <c r="D10">
        <v>6.3E-2</v>
      </c>
      <c r="E10">
        <v>0.19359999999999999</v>
      </c>
      <c r="F10">
        <f t="shared" si="0"/>
        <v>16.234920634920638</v>
      </c>
      <c r="G10">
        <f t="shared" si="1"/>
        <v>9.3104338842975203</v>
      </c>
      <c r="H10" s="31"/>
      <c r="I10" s="31"/>
    </row>
    <row r="11" spans="1:12" x14ac:dyDescent="0.25">
      <c r="A11" t="s">
        <v>69</v>
      </c>
      <c r="B11">
        <v>1.2363</v>
      </c>
      <c r="C11">
        <v>2.0219999999999998</v>
      </c>
      <c r="D11">
        <v>7.1199999999999999E-2</v>
      </c>
      <c r="E11">
        <v>0.1915</v>
      </c>
      <c r="F11" s="38">
        <f>(G11*100%/36%)-G11</f>
        <v>16.993327531186537</v>
      </c>
      <c r="G11">
        <f t="shared" si="1"/>
        <v>9.5587467362924272</v>
      </c>
      <c r="H11" s="31">
        <f t="shared" ref="H11:H14" si="3">AVERAGE(F11:F13)</f>
        <v>16.359211299853076</v>
      </c>
      <c r="I11" s="31">
        <f t="shared" ref="I11" si="4">AVERAGE(G11:G13)</f>
        <v>9.2020563561673558</v>
      </c>
      <c r="K11">
        <f>K12*L11/L12</f>
        <v>25.561267656020433</v>
      </c>
      <c r="L11" s="23">
        <v>1</v>
      </c>
    </row>
    <row r="12" spans="1:12" x14ac:dyDescent="0.25">
      <c r="A12" t="s">
        <v>70</v>
      </c>
      <c r="B12">
        <v>1.2789999999999999</v>
      </c>
      <c r="C12">
        <v>1.9953000000000001</v>
      </c>
      <c r="D12">
        <v>7.3700000000000002E-2</v>
      </c>
      <c r="E12">
        <v>0.1971</v>
      </c>
      <c r="F12" s="38">
        <f t="shared" ref="F12:F16" si="5">(G12*100%/36%)-G12</f>
        <v>16.219178082191782</v>
      </c>
      <c r="G12">
        <f t="shared" si="1"/>
        <v>9.1232876712328768</v>
      </c>
      <c r="H12" s="31"/>
      <c r="I12" s="31"/>
      <c r="K12">
        <f>I11</f>
        <v>9.2020563561673558</v>
      </c>
      <c r="L12" s="24">
        <f>36%</f>
        <v>0.36</v>
      </c>
    </row>
    <row r="13" spans="1:12" x14ac:dyDescent="0.25">
      <c r="A13" t="s">
        <v>71</v>
      </c>
      <c r="B13">
        <v>1.345</v>
      </c>
      <c r="C13">
        <v>2.093</v>
      </c>
      <c r="D13">
        <v>7.7499999999999999E-2</v>
      </c>
      <c r="E13">
        <v>0.2109</v>
      </c>
      <c r="F13" s="38">
        <f t="shared" si="5"/>
        <v>15.865128286180916</v>
      </c>
      <c r="G13">
        <f t="shared" si="1"/>
        <v>8.9241346609767653</v>
      </c>
      <c r="H13" s="31"/>
      <c r="I13" s="31"/>
    </row>
    <row r="14" spans="1:12" x14ac:dyDescent="0.25">
      <c r="A14" t="s">
        <v>72</v>
      </c>
      <c r="B14">
        <v>1.2212000000000001</v>
      </c>
      <c r="C14">
        <v>2.0106999999999999</v>
      </c>
      <c r="D14">
        <v>7.0699999999999999E-2</v>
      </c>
      <c r="E14">
        <v>0.1913</v>
      </c>
      <c r="F14" s="38">
        <f t="shared" si="5"/>
        <v>16.907939826915261</v>
      </c>
      <c r="G14">
        <f t="shared" si="1"/>
        <v>9.5107161526398318</v>
      </c>
      <c r="H14" s="31">
        <f t="shared" si="3"/>
        <v>16.270514112401568</v>
      </c>
      <c r="I14" s="31">
        <f t="shared" ref="I14" si="6">AVERAGE(G14:G16)</f>
        <v>9.1521641882258802</v>
      </c>
    </row>
    <row r="15" spans="1:12" x14ac:dyDescent="0.25">
      <c r="A15" t="s">
        <v>73</v>
      </c>
      <c r="B15">
        <v>1.2090000000000001</v>
      </c>
      <c r="C15">
        <v>1.8589</v>
      </c>
      <c r="D15">
        <v>7.0000000000000007E-2</v>
      </c>
      <c r="E15">
        <v>0.1885</v>
      </c>
      <c r="F15" s="38">
        <f t="shared" si="5"/>
        <v>15.753846153846153</v>
      </c>
      <c r="G15">
        <f t="shared" si="1"/>
        <v>8.8615384615384603</v>
      </c>
      <c r="H15" s="31"/>
      <c r="I15" s="31"/>
    </row>
    <row r="16" spans="1:12" x14ac:dyDescent="0.25">
      <c r="A16" t="s">
        <v>74</v>
      </c>
      <c r="B16">
        <v>1.5401</v>
      </c>
      <c r="C16">
        <v>2.3224</v>
      </c>
      <c r="D16">
        <v>8.9200000000000002E-2</v>
      </c>
      <c r="E16">
        <v>0.2303</v>
      </c>
      <c r="F16" s="38">
        <f t="shared" si="5"/>
        <v>16.149756356443284</v>
      </c>
      <c r="G16">
        <f t="shared" si="1"/>
        <v>9.0842379504993485</v>
      </c>
      <c r="H16" s="31"/>
      <c r="I16" s="31"/>
    </row>
    <row r="17" spans="1:11" x14ac:dyDescent="0.25">
      <c r="A17" s="31" t="s">
        <v>13</v>
      </c>
      <c r="B17" s="31"/>
      <c r="C17" s="31"/>
      <c r="D17" s="31"/>
      <c r="E17" s="31"/>
      <c r="F17" s="31"/>
    </row>
    <row r="18" spans="1:11" ht="30" x14ac:dyDescent="0.25">
      <c r="A18" s="1" t="s">
        <v>0</v>
      </c>
      <c r="B18" t="s">
        <v>1</v>
      </c>
      <c r="C18" t="s">
        <v>3</v>
      </c>
      <c r="D18" t="s">
        <v>5</v>
      </c>
      <c r="E18" s="18" t="s">
        <v>55</v>
      </c>
      <c r="F18" s="1"/>
      <c r="H18" s="37"/>
      <c r="I18" s="37"/>
    </row>
    <row r="19" spans="1:11" ht="18" x14ac:dyDescent="0.35">
      <c r="A19" t="s">
        <v>10</v>
      </c>
      <c r="B19">
        <v>1.5032000000000001</v>
      </c>
      <c r="C19" s="20">
        <f>B19/(1+$H$5)</f>
        <v>8.6560183214991052E-2</v>
      </c>
      <c r="D19">
        <v>3.8100000000000002E-2</v>
      </c>
      <c r="E19">
        <f>D19/C19</f>
        <v>0.44015618480578261</v>
      </c>
      <c r="K19" s="20"/>
    </row>
    <row r="20" spans="1:11" ht="18" x14ac:dyDescent="0.35">
      <c r="A20" t="s">
        <v>11</v>
      </c>
      <c r="B20">
        <v>1.2846</v>
      </c>
      <c r="C20" s="20">
        <f t="shared" ref="C20:C21" si="7">B20/(1+$H$5)</f>
        <v>7.3972333261028145E-2</v>
      </c>
      <c r="D20">
        <v>3.27E-2</v>
      </c>
      <c r="E20">
        <f t="shared" ref="E20:E27" si="8">D20/C20</f>
        <v>0.44205716594893174</v>
      </c>
      <c r="K20" s="20"/>
    </row>
    <row r="21" spans="1:11" ht="18" x14ac:dyDescent="0.35">
      <c r="A21" t="s">
        <v>12</v>
      </c>
      <c r="B21">
        <v>1.3732</v>
      </c>
      <c r="C21" s="20">
        <f t="shared" si="7"/>
        <v>7.9074270616568465E-2</v>
      </c>
      <c r="D21">
        <v>3.5400000000000001E-2</v>
      </c>
      <c r="E21">
        <f t="shared" si="8"/>
        <v>0.44768038609745486</v>
      </c>
      <c r="K21" s="20"/>
    </row>
    <row r="22" spans="1:11" x14ac:dyDescent="0.25">
      <c r="A22" t="s">
        <v>69</v>
      </c>
      <c r="B22">
        <f>B11</f>
        <v>1.2363</v>
      </c>
      <c r="C22" s="20">
        <f>B22/(1+$H$11)</f>
        <v>7.1218673397360155E-2</v>
      </c>
      <c r="D22">
        <v>3.1E-2</v>
      </c>
      <c r="E22">
        <f t="shared" si="8"/>
        <v>0.43527909916318475</v>
      </c>
      <c r="K22" s="20"/>
    </row>
    <row r="23" spans="1:11" x14ac:dyDescent="0.25">
      <c r="A23" t="s">
        <v>70</v>
      </c>
      <c r="B23">
        <f t="shared" ref="B23:B27" si="9">B12</f>
        <v>1.2789999999999999</v>
      </c>
      <c r="C23" s="20">
        <f t="shared" ref="C23:C24" si="10">B23/(1+$H$11)</f>
        <v>7.3678462569945508E-2</v>
      </c>
      <c r="D23">
        <v>3.2899999999999999E-2</v>
      </c>
      <c r="E23">
        <f t="shared" si="8"/>
        <v>0.44653483328003613</v>
      </c>
      <c r="K23" s="20"/>
    </row>
    <row r="24" spans="1:11" x14ac:dyDescent="0.25">
      <c r="A24" t="s">
        <v>71</v>
      </c>
      <c r="B24">
        <f t="shared" si="9"/>
        <v>1.345</v>
      </c>
      <c r="C24" s="20">
        <f t="shared" si="10"/>
        <v>7.7480478621248405E-2</v>
      </c>
      <c r="D24">
        <v>3.8199999999999998E-2</v>
      </c>
      <c r="E24">
        <f t="shared" si="8"/>
        <v>0.49302741386943305</v>
      </c>
      <c r="K24" s="20"/>
    </row>
    <row r="25" spans="1:11" x14ac:dyDescent="0.25">
      <c r="A25" t="s">
        <v>72</v>
      </c>
      <c r="B25">
        <f t="shared" si="9"/>
        <v>1.2212000000000001</v>
      </c>
      <c r="C25" s="20">
        <f>B25/(1+$H$14)</f>
        <v>7.0710112741987449E-2</v>
      </c>
      <c r="D25">
        <v>3.1199999999999999E-2</v>
      </c>
      <c r="E25">
        <f t="shared" si="8"/>
        <v>0.44123815943901801</v>
      </c>
    </row>
    <row r="26" spans="1:11" x14ac:dyDescent="0.25">
      <c r="A26" t="s">
        <v>73</v>
      </c>
      <c r="B26">
        <f t="shared" si="9"/>
        <v>1.2090000000000001</v>
      </c>
      <c r="C26" s="20">
        <f t="shared" ref="C26:C27" si="11">B26/(1+$H$14)</f>
        <v>7.0003706440437949E-2</v>
      </c>
      <c r="D26">
        <v>3.2500000000000001E-2</v>
      </c>
      <c r="E26">
        <f t="shared" si="8"/>
        <v>0.46426113205380554</v>
      </c>
    </row>
    <row r="27" spans="1:11" x14ac:dyDescent="0.25">
      <c r="A27" t="s">
        <v>74</v>
      </c>
      <c r="B27">
        <f t="shared" si="9"/>
        <v>1.5401</v>
      </c>
      <c r="C27" s="20">
        <f t="shared" si="11"/>
        <v>8.9175110247244394E-2</v>
      </c>
      <c r="D27">
        <v>3.3399999999999999E-2</v>
      </c>
      <c r="E27">
        <f t="shared" si="8"/>
        <v>0.37454397205000478</v>
      </c>
    </row>
  </sheetData>
  <mergeCells count="11">
    <mergeCell ref="H18:I18"/>
    <mergeCell ref="A17:F17"/>
    <mergeCell ref="A4:I4"/>
    <mergeCell ref="H5:H7"/>
    <mergeCell ref="H8:H10"/>
    <mergeCell ref="H11:H13"/>
    <mergeCell ref="H14:H16"/>
    <mergeCell ref="I5:I7"/>
    <mergeCell ref="I8:I10"/>
    <mergeCell ref="I11:I13"/>
    <mergeCell ref="I14:I16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8"/>
  <sheetViews>
    <sheetView workbookViewId="0">
      <selection activeCell="A10" sqref="A10:A18"/>
    </sheetView>
  </sheetViews>
  <sheetFormatPr defaultRowHeight="15" x14ac:dyDescent="0.25"/>
  <cols>
    <col min="1" max="1" width="16.28515625" customWidth="1"/>
    <col min="5" max="5" width="10.42578125" customWidth="1"/>
  </cols>
  <sheetData>
    <row r="3" spans="1:2" x14ac:dyDescent="0.25">
      <c r="A3" t="s">
        <v>0</v>
      </c>
      <c r="B3" t="s">
        <v>15</v>
      </c>
    </row>
    <row r="4" spans="1:2" ht="30" customHeight="1" x14ac:dyDescent="0.25">
      <c r="A4" s="32" t="s">
        <v>17</v>
      </c>
      <c r="B4" s="32"/>
    </row>
    <row r="5" spans="1:2" x14ac:dyDescent="0.25">
      <c r="A5" t="s">
        <v>16</v>
      </c>
      <c r="B5">
        <v>5.04</v>
      </c>
    </row>
    <row r="6" spans="1:2" x14ac:dyDescent="0.25">
      <c r="A6" t="s">
        <v>75</v>
      </c>
      <c r="B6">
        <v>5.03</v>
      </c>
    </row>
    <row r="7" spans="1:2" x14ac:dyDescent="0.25">
      <c r="A7" t="s">
        <v>67</v>
      </c>
      <c r="B7">
        <v>5</v>
      </c>
    </row>
    <row r="8" spans="1:2" x14ac:dyDescent="0.25">
      <c r="A8" t="s">
        <v>68</v>
      </c>
      <c r="B8">
        <v>5.0199999999999996</v>
      </c>
    </row>
    <row r="9" spans="1:2" ht="29.25" customHeight="1" x14ac:dyDescent="0.25">
      <c r="A9" s="33" t="s">
        <v>18</v>
      </c>
      <c r="B9" s="33"/>
    </row>
    <row r="10" spans="1:2" ht="18" x14ac:dyDescent="0.35">
      <c r="A10" t="s">
        <v>10</v>
      </c>
      <c r="B10" s="3">
        <v>7.03</v>
      </c>
    </row>
    <row r="11" spans="1:2" ht="18" x14ac:dyDescent="0.35">
      <c r="A11" t="s">
        <v>11</v>
      </c>
      <c r="B11" s="3">
        <v>6.87</v>
      </c>
    </row>
    <row r="12" spans="1:2" ht="18" x14ac:dyDescent="0.35">
      <c r="A12" t="s">
        <v>12</v>
      </c>
      <c r="B12" s="3">
        <v>7.06</v>
      </c>
    </row>
    <row r="13" spans="1:2" x14ac:dyDescent="0.25">
      <c r="A13" t="s">
        <v>69</v>
      </c>
      <c r="B13" s="3">
        <v>7.07</v>
      </c>
    </row>
    <row r="14" spans="1:2" x14ac:dyDescent="0.25">
      <c r="A14" t="s">
        <v>70</v>
      </c>
      <c r="B14" s="3">
        <v>6.76</v>
      </c>
    </row>
    <row r="15" spans="1:2" x14ac:dyDescent="0.25">
      <c r="A15" t="s">
        <v>71</v>
      </c>
      <c r="B15" s="3">
        <v>6.96</v>
      </c>
    </row>
    <row r="16" spans="1:2" x14ac:dyDescent="0.25">
      <c r="A16" t="s">
        <v>72</v>
      </c>
      <c r="B16" s="3">
        <v>7.31</v>
      </c>
    </row>
    <row r="17" spans="1:2" x14ac:dyDescent="0.25">
      <c r="A17" t="s">
        <v>73</v>
      </c>
      <c r="B17" s="3">
        <v>7.05</v>
      </c>
    </row>
    <row r="18" spans="1:2" x14ac:dyDescent="0.25">
      <c r="A18" t="s">
        <v>74</v>
      </c>
      <c r="B18" s="3">
        <v>7.07</v>
      </c>
    </row>
    <row r="19" spans="1:2" ht="30" customHeight="1" x14ac:dyDescent="0.25">
      <c r="A19" s="32" t="s">
        <v>19</v>
      </c>
      <c r="B19" s="32"/>
    </row>
    <row r="20" spans="1:2" ht="18" x14ac:dyDescent="0.35">
      <c r="A20" t="s">
        <v>10</v>
      </c>
      <c r="B20" s="3">
        <v>4.33</v>
      </c>
    </row>
    <row r="21" spans="1:2" ht="18" x14ac:dyDescent="0.35">
      <c r="A21" t="s">
        <v>11</v>
      </c>
      <c r="B21" s="3">
        <v>5.23</v>
      </c>
    </row>
    <row r="22" spans="1:2" ht="18" x14ac:dyDescent="0.35">
      <c r="A22" t="s">
        <v>12</v>
      </c>
      <c r="B22" s="3">
        <v>4.3499999999999996</v>
      </c>
    </row>
    <row r="23" spans="1:2" x14ac:dyDescent="0.25">
      <c r="A23" t="s">
        <v>69</v>
      </c>
      <c r="B23" s="3">
        <v>4.93</v>
      </c>
    </row>
    <row r="24" spans="1:2" x14ac:dyDescent="0.25">
      <c r="A24" t="s">
        <v>70</v>
      </c>
      <c r="B24" s="3">
        <v>4.8099999999999996</v>
      </c>
    </row>
    <row r="25" spans="1:2" x14ac:dyDescent="0.25">
      <c r="A25" t="s">
        <v>71</v>
      </c>
      <c r="B25" s="3">
        <v>4.8899999999999997</v>
      </c>
    </row>
    <row r="26" spans="1:2" x14ac:dyDescent="0.25">
      <c r="A26" t="s">
        <v>72</v>
      </c>
      <c r="B26" s="3">
        <v>4.74</v>
      </c>
    </row>
    <row r="27" spans="1:2" x14ac:dyDescent="0.25">
      <c r="A27" t="s">
        <v>73</v>
      </c>
      <c r="B27" s="3">
        <v>4.7300000000000004</v>
      </c>
    </row>
    <row r="28" spans="1:2" x14ac:dyDescent="0.25">
      <c r="A28" t="s">
        <v>74</v>
      </c>
      <c r="B28" s="3">
        <v>4.79</v>
      </c>
    </row>
  </sheetData>
  <mergeCells count="3">
    <mergeCell ref="A4:B4"/>
    <mergeCell ref="A9:B9"/>
    <mergeCell ref="A19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Q25"/>
  <sheetViews>
    <sheetView topLeftCell="E1" workbookViewId="0">
      <selection activeCell="M4" sqref="M4:M6"/>
    </sheetView>
  </sheetViews>
  <sheetFormatPr defaultRowHeight="15" x14ac:dyDescent="0.25"/>
  <cols>
    <col min="1" max="1" width="21.28515625" customWidth="1"/>
    <col min="2" max="2" width="12.42578125" customWidth="1"/>
    <col min="3" max="5" width="9.28515625" bestFit="1" customWidth="1"/>
    <col min="6" max="6" width="11.42578125" customWidth="1"/>
    <col min="7" max="7" width="12" bestFit="1" customWidth="1"/>
    <col min="8" max="8" width="9.85546875" bestFit="1" customWidth="1"/>
    <col min="9" max="9" width="11.5703125" customWidth="1"/>
    <col min="10" max="10" width="15.5703125" customWidth="1"/>
    <col min="11" max="11" width="15.28515625" customWidth="1"/>
    <col min="12" max="12" width="19.7109375" customWidth="1"/>
    <col min="13" max="13" width="17.5703125" customWidth="1"/>
    <col min="14" max="14" width="18.28515625" customWidth="1"/>
    <col min="15" max="15" width="17.28515625" customWidth="1"/>
    <col min="16" max="16" width="30.5703125" customWidth="1"/>
    <col min="17" max="17" width="31.85546875" customWidth="1"/>
  </cols>
  <sheetData>
    <row r="3" spans="1:17" ht="83.25" customHeight="1" x14ac:dyDescent="0.3">
      <c r="A3" s="4" t="s">
        <v>0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80</v>
      </c>
      <c r="M3" s="4" t="s">
        <v>81</v>
      </c>
      <c r="N3" s="4" t="s">
        <v>30</v>
      </c>
      <c r="O3" s="4" t="s">
        <v>31</v>
      </c>
      <c r="P3" s="4" t="s">
        <v>82</v>
      </c>
      <c r="Q3" s="4" t="s">
        <v>83</v>
      </c>
    </row>
    <row r="4" spans="1:17" ht="20.25" x14ac:dyDescent="0.3">
      <c r="A4" s="5" t="s">
        <v>76</v>
      </c>
      <c r="B4" s="6">
        <v>150</v>
      </c>
      <c r="C4" s="6">
        <v>20</v>
      </c>
      <c r="D4" s="7">
        <v>4.7E-2</v>
      </c>
      <c r="E4" s="7">
        <v>4.5999999999999999E-2</v>
      </c>
      <c r="F4" s="7">
        <f>AVERAGE(D4:E4)</f>
        <v>4.65E-2</v>
      </c>
      <c r="G4" s="4">
        <f>(F4*18.408+0.2352)/C4</f>
        <v>5.4558599999999999E-2</v>
      </c>
      <c r="H4" s="4">
        <f>G4/63.5</f>
        <v>8.591905511811023E-4</v>
      </c>
      <c r="I4" s="4">
        <f>H4*B4</f>
        <v>0.12887858267716534</v>
      </c>
      <c r="J4" s="4">
        <f>$I$15</f>
        <v>1.3417001574803149</v>
      </c>
      <c r="K4" s="4">
        <f>J4-I4</f>
        <v>1.2128215748031494</v>
      </c>
      <c r="L4" s="4">
        <f t="shared" ref="L4:L6" si="0">K4/N4</f>
        <v>1.2449410539962529</v>
      </c>
      <c r="M4" s="4">
        <f>K4/O4</f>
        <v>20.247438644459923</v>
      </c>
      <c r="N4" s="5">
        <v>0.97419999999999995</v>
      </c>
      <c r="O4" s="5">
        <v>5.9900000000000002E-2</v>
      </c>
      <c r="P4" s="34">
        <f>AVERAGE(L4:L6)</f>
        <v>1.1801440669120786</v>
      </c>
      <c r="Q4" s="34">
        <f>AVERAGE(M4:M6)</f>
        <v>19.680462230224592</v>
      </c>
    </row>
    <row r="5" spans="1:17" ht="20.25" x14ac:dyDescent="0.3">
      <c r="A5" s="5" t="s">
        <v>77</v>
      </c>
      <c r="B5" s="6">
        <v>150</v>
      </c>
      <c r="C5" s="6">
        <v>20</v>
      </c>
      <c r="D5" s="7">
        <v>4.1000000000000002E-2</v>
      </c>
      <c r="E5" s="7">
        <v>3.9E-2</v>
      </c>
      <c r="F5" s="7">
        <f t="shared" ref="F5:F6" si="1">AVERAGE(D5:E5)</f>
        <v>0.04</v>
      </c>
      <c r="G5" s="4">
        <f t="shared" ref="G5:G6" si="2">(F5*18.408+0.2352)/C5</f>
        <v>4.8576000000000001E-2</v>
      </c>
      <c r="H5" s="4">
        <f t="shared" ref="H5:H6" si="3">G5/63.5</f>
        <v>7.649763779527559E-4</v>
      </c>
      <c r="I5" s="4">
        <f t="shared" ref="I5:I6" si="4">H5*B5</f>
        <v>0.11474645669291339</v>
      </c>
      <c r="J5" s="4">
        <f t="shared" ref="J5:J6" si="5">$I$15</f>
        <v>1.3417001574803149</v>
      </c>
      <c r="K5" s="4">
        <f t="shared" ref="K5:K6" si="6">J5-I5</f>
        <v>1.2269537007874014</v>
      </c>
      <c r="L5" s="4">
        <f t="shared" si="0"/>
        <v>1.1534772029589182</v>
      </c>
      <c r="M5" s="4">
        <f t="shared" ref="M5:M6" si="7">K5/O5</f>
        <v>19.111428361174479</v>
      </c>
      <c r="N5" s="5">
        <v>1.0637000000000001</v>
      </c>
      <c r="O5" s="5">
        <v>6.4199999999999993E-2</v>
      </c>
      <c r="P5" s="35"/>
      <c r="Q5" s="35"/>
    </row>
    <row r="6" spans="1:17" ht="20.25" x14ac:dyDescent="0.3">
      <c r="A6" s="5" t="s">
        <v>78</v>
      </c>
      <c r="B6" s="6">
        <v>150</v>
      </c>
      <c r="C6" s="6">
        <v>20</v>
      </c>
      <c r="D6" s="7">
        <v>3.2000000000000001E-2</v>
      </c>
      <c r="E6" s="7">
        <v>3.5999999999999997E-2</v>
      </c>
      <c r="F6" s="7">
        <f t="shared" si="1"/>
        <v>3.4000000000000002E-2</v>
      </c>
      <c r="G6" s="4">
        <f t="shared" si="2"/>
        <v>4.3053600000000004E-2</v>
      </c>
      <c r="H6" s="4">
        <f t="shared" si="3"/>
        <v>6.7800944881889766E-4</v>
      </c>
      <c r="I6" s="4">
        <f t="shared" si="4"/>
        <v>0.10170141732283465</v>
      </c>
      <c r="J6" s="4">
        <f t="shared" si="5"/>
        <v>1.3417001574803149</v>
      </c>
      <c r="K6" s="4">
        <f t="shared" si="6"/>
        <v>1.2399987401574804</v>
      </c>
      <c r="L6" s="4">
        <f t="shared" si="0"/>
        <v>1.1420139437810648</v>
      </c>
      <c r="M6" s="4">
        <f t="shared" si="7"/>
        <v>19.68251968503937</v>
      </c>
      <c r="N6" s="5">
        <v>1.0858000000000001</v>
      </c>
      <c r="O6" s="5">
        <v>6.3E-2</v>
      </c>
      <c r="P6" s="36"/>
      <c r="Q6" s="36"/>
    </row>
    <row r="7" spans="1:17" ht="20.25" x14ac:dyDescent="0.3">
      <c r="A7" s="5"/>
      <c r="B7" s="6"/>
      <c r="C7" s="6"/>
      <c r="D7" s="7"/>
      <c r="E7" s="7"/>
      <c r="F7" s="7"/>
      <c r="G7" s="4"/>
      <c r="H7" s="4"/>
      <c r="I7" s="4"/>
      <c r="J7" s="4"/>
      <c r="K7" s="4"/>
      <c r="L7" s="4"/>
      <c r="M7" s="4"/>
      <c r="N7" s="5"/>
      <c r="O7" s="5"/>
      <c r="P7" s="34"/>
      <c r="Q7" s="34"/>
    </row>
    <row r="8" spans="1:17" ht="20.25" x14ac:dyDescent="0.3">
      <c r="A8" s="5"/>
      <c r="B8" s="6"/>
      <c r="C8" s="6"/>
      <c r="D8" s="7"/>
      <c r="E8" s="7"/>
      <c r="F8" s="7"/>
      <c r="G8" s="4"/>
      <c r="H8" s="4"/>
      <c r="I8" s="4"/>
      <c r="J8" s="4"/>
      <c r="K8" s="4"/>
      <c r="L8" s="4"/>
      <c r="M8" s="4"/>
      <c r="N8" s="5"/>
      <c r="O8" s="5"/>
      <c r="P8" s="35"/>
      <c r="Q8" s="35"/>
    </row>
    <row r="9" spans="1:17" ht="20.25" x14ac:dyDescent="0.3">
      <c r="A9" s="5"/>
      <c r="B9" s="6"/>
      <c r="C9" s="6"/>
      <c r="D9" s="7"/>
      <c r="E9" s="7"/>
      <c r="F9" s="7"/>
      <c r="G9" s="4"/>
      <c r="H9" s="4"/>
      <c r="I9" s="4"/>
      <c r="J9" s="4"/>
      <c r="K9" s="4"/>
      <c r="L9" s="4"/>
      <c r="M9" s="4"/>
      <c r="N9" s="5"/>
      <c r="O9" s="5"/>
      <c r="P9" s="36"/>
      <c r="Q9" s="36"/>
    </row>
    <row r="10" spans="1:17" ht="20.25" x14ac:dyDescent="0.3">
      <c r="A10" s="5"/>
      <c r="B10" s="6"/>
      <c r="C10" s="6"/>
      <c r="D10" s="7"/>
      <c r="E10" s="7"/>
      <c r="F10" s="7"/>
      <c r="G10" s="4"/>
      <c r="H10" s="4"/>
      <c r="I10" s="4"/>
      <c r="J10" s="4"/>
      <c r="K10" s="8"/>
      <c r="L10" s="4"/>
      <c r="M10" s="4"/>
      <c r="N10" s="5"/>
      <c r="O10" s="5"/>
      <c r="P10" s="34"/>
      <c r="Q10" s="34"/>
    </row>
    <row r="11" spans="1:17" ht="20.25" x14ac:dyDescent="0.3">
      <c r="A11" s="5"/>
      <c r="B11" s="6"/>
      <c r="C11" s="6"/>
      <c r="D11" s="7"/>
      <c r="E11" s="7"/>
      <c r="F11" s="7"/>
      <c r="G11" s="4"/>
      <c r="H11" s="4"/>
      <c r="I11" s="4"/>
      <c r="J11" s="4"/>
      <c r="K11" s="4"/>
      <c r="L11" s="4"/>
      <c r="M11" s="4"/>
      <c r="N11" s="5"/>
      <c r="O11" s="5"/>
      <c r="P11" s="35"/>
      <c r="Q11" s="35"/>
    </row>
    <row r="12" spans="1:17" ht="20.25" x14ac:dyDescent="0.3">
      <c r="A12" s="5"/>
      <c r="B12" s="6"/>
      <c r="C12" s="6"/>
      <c r="D12" s="7"/>
      <c r="E12" s="7"/>
      <c r="F12" s="7"/>
      <c r="G12" s="4"/>
      <c r="H12" s="4"/>
      <c r="I12" s="4"/>
      <c r="J12" s="4"/>
      <c r="K12" s="4"/>
      <c r="L12" s="4"/>
      <c r="M12" s="4"/>
      <c r="N12" s="5"/>
      <c r="O12" s="5"/>
      <c r="P12" s="36"/>
      <c r="Q12" s="36"/>
    </row>
    <row r="13" spans="1:17" ht="20.25" x14ac:dyDescent="0.3">
      <c r="A13" s="9" t="s">
        <v>37</v>
      </c>
    </row>
    <row r="14" spans="1:17" ht="40.5" x14ac:dyDescent="0.3">
      <c r="A14" s="10" t="s">
        <v>0</v>
      </c>
      <c r="B14" s="10" t="s">
        <v>20</v>
      </c>
      <c r="C14" s="10" t="s">
        <v>21</v>
      </c>
      <c r="D14" s="10" t="s">
        <v>22</v>
      </c>
      <c r="E14" s="10" t="s">
        <v>23</v>
      </c>
      <c r="F14" s="10" t="s">
        <v>24</v>
      </c>
      <c r="G14" s="10" t="s">
        <v>25</v>
      </c>
      <c r="H14" s="11" t="s">
        <v>26</v>
      </c>
      <c r="I14" s="11" t="s">
        <v>27</v>
      </c>
    </row>
    <row r="15" spans="1:17" ht="20.25" x14ac:dyDescent="0.3">
      <c r="A15" s="10" t="s">
        <v>38</v>
      </c>
      <c r="B15" s="10">
        <v>150</v>
      </c>
      <c r="C15" s="10">
        <v>5</v>
      </c>
      <c r="D15" s="10">
        <v>0.14000000000000001</v>
      </c>
      <c r="E15" s="10">
        <v>0.14299999999999999</v>
      </c>
      <c r="F15" s="10">
        <f>AVERAGE(D15:E15)</f>
        <v>0.14150000000000001</v>
      </c>
      <c r="G15" s="10">
        <f>(F15*18.408+0.2352)/C15</f>
        <v>0.5679864</v>
      </c>
      <c r="H15" s="10">
        <f>G15/63.5</f>
        <v>8.9446677165354333E-3</v>
      </c>
      <c r="I15" s="10">
        <f>H15*B15</f>
        <v>1.3417001574803149</v>
      </c>
    </row>
    <row r="16" spans="1:17" ht="20.25" x14ac:dyDescent="0.3">
      <c r="A16" s="10" t="s">
        <v>79</v>
      </c>
      <c r="B16" s="10">
        <v>150</v>
      </c>
      <c r="C16" s="10">
        <v>5</v>
      </c>
      <c r="D16" s="10">
        <v>0.14000000000000001</v>
      </c>
      <c r="E16" s="10">
        <v>0.14000000000000001</v>
      </c>
      <c r="F16" s="10">
        <f t="shared" ref="F16" si="8">AVERAGE(D16:E16)</f>
        <v>0.14000000000000001</v>
      </c>
      <c r="G16" s="10">
        <f>(F16*18.408+0.2352)/C16</f>
        <v>0.56246400000000008</v>
      </c>
      <c r="H16" s="10">
        <f t="shared" ref="H16" si="9">G16/63.5</f>
        <v>8.8577007874015758E-3</v>
      </c>
      <c r="I16" s="10">
        <f t="shared" ref="I16" si="10">H16*B16</f>
        <v>1.3286551181102364</v>
      </c>
    </row>
    <row r="17" spans="1:9" ht="20.25" x14ac:dyDescent="0.3">
      <c r="A17" s="10"/>
      <c r="B17" s="10"/>
      <c r="C17" s="10"/>
      <c r="D17" s="10"/>
      <c r="E17" s="10"/>
      <c r="F17" s="10"/>
      <c r="G17" s="10"/>
      <c r="H17" s="10"/>
      <c r="I17" s="10"/>
    </row>
    <row r="18" spans="1:9" ht="20.25" x14ac:dyDescent="0.3">
      <c r="A18" s="10"/>
      <c r="B18" s="10"/>
      <c r="C18" s="10"/>
      <c r="D18" s="10"/>
      <c r="E18" s="10"/>
      <c r="F18" s="10"/>
      <c r="G18" s="10"/>
      <c r="H18" s="10"/>
      <c r="I18" s="10"/>
    </row>
    <row r="19" spans="1:9" ht="20.25" x14ac:dyDescent="0.3">
      <c r="A19" s="10" t="s">
        <v>39</v>
      </c>
      <c r="B19" s="10"/>
      <c r="C19" s="10"/>
      <c r="D19" s="10"/>
      <c r="E19" s="10"/>
      <c r="F19" s="10"/>
      <c r="G19" s="10"/>
      <c r="H19" s="10"/>
      <c r="I19" s="10"/>
    </row>
    <row r="20" spans="1:9" ht="40.5" x14ac:dyDescent="0.3">
      <c r="A20" s="10" t="s">
        <v>0</v>
      </c>
      <c r="B20" s="11" t="s">
        <v>40</v>
      </c>
      <c r="C20" s="10" t="s">
        <v>41</v>
      </c>
      <c r="D20" s="10"/>
      <c r="E20" s="10"/>
      <c r="F20" s="10"/>
      <c r="G20" s="10"/>
      <c r="H20" s="10"/>
      <c r="I20" s="10"/>
    </row>
    <row r="21" spans="1:9" x14ac:dyDescent="0.25">
      <c r="A21">
        <v>0.1</v>
      </c>
      <c r="B21">
        <f>A21*10</f>
        <v>1</v>
      </c>
      <c r="C21">
        <v>4.2999999999999997E-2</v>
      </c>
    </row>
    <row r="22" spans="1:9" x14ac:dyDescent="0.25">
      <c r="A22">
        <v>0.2</v>
      </c>
      <c r="B22">
        <f t="shared" ref="B22:B25" si="11">A22*10</f>
        <v>2</v>
      </c>
      <c r="C22">
        <v>9.2999999999999999E-2</v>
      </c>
    </row>
    <row r="23" spans="1:9" x14ac:dyDescent="0.25">
      <c r="A23">
        <v>0.3</v>
      </c>
      <c r="B23">
        <f t="shared" si="11"/>
        <v>3</v>
      </c>
      <c r="C23">
        <v>0.151</v>
      </c>
    </row>
    <row r="24" spans="1:9" x14ac:dyDescent="0.25">
      <c r="A24">
        <v>0.4</v>
      </c>
      <c r="B24">
        <f t="shared" si="11"/>
        <v>4</v>
      </c>
      <c r="C24">
        <v>0.20599999999999999</v>
      </c>
    </row>
    <row r="25" spans="1:9" x14ac:dyDescent="0.25">
      <c r="A25">
        <v>0.5</v>
      </c>
      <c r="B25">
        <f t="shared" si="11"/>
        <v>5</v>
      </c>
      <c r="C25">
        <v>0.25800000000000001</v>
      </c>
    </row>
  </sheetData>
  <mergeCells count="6">
    <mergeCell ref="P4:P6"/>
    <mergeCell ref="Q4:Q6"/>
    <mergeCell ref="P7:P9"/>
    <mergeCell ref="Q7:Q9"/>
    <mergeCell ref="P10:P12"/>
    <mergeCell ref="Q10:Q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T20"/>
  <sheetViews>
    <sheetView workbookViewId="0">
      <selection activeCell="M4" sqref="M4:N6"/>
    </sheetView>
  </sheetViews>
  <sheetFormatPr defaultRowHeight="20.25" x14ac:dyDescent="0.3"/>
  <cols>
    <col min="1" max="1" width="21.28515625" style="10" customWidth="1"/>
    <col min="2" max="2" width="12.42578125" style="10" customWidth="1"/>
    <col min="3" max="3" width="9.5703125" style="10" bestFit="1" customWidth="1"/>
    <col min="4" max="5" width="9.28515625" style="10" bestFit="1" customWidth="1"/>
    <col min="6" max="6" width="11.42578125" style="10" customWidth="1"/>
    <col min="7" max="7" width="12.28515625" style="10" bestFit="1" customWidth="1"/>
    <col min="8" max="9" width="12" style="10" bestFit="1" customWidth="1"/>
    <col min="10" max="10" width="15.5703125" style="10" customWidth="1"/>
    <col min="11" max="11" width="15.28515625" style="10" customWidth="1"/>
    <col min="12" max="12" width="19.7109375" style="10" customWidth="1"/>
    <col min="13" max="14" width="17.5703125" style="10" customWidth="1"/>
    <col min="15" max="15" width="18.28515625" style="10" customWidth="1"/>
    <col min="16" max="17" width="17.28515625" style="10" customWidth="1"/>
    <col min="18" max="18" width="30.5703125" style="10" customWidth="1"/>
    <col min="19" max="19" width="31.85546875" style="10" customWidth="1"/>
    <col min="20" max="20" width="26.5703125" style="10" customWidth="1"/>
    <col min="21" max="16384" width="9.140625" style="10"/>
  </cols>
  <sheetData>
    <row r="3" spans="1:20" ht="81" x14ac:dyDescent="0.3">
      <c r="A3" s="4" t="s">
        <v>0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42</v>
      </c>
      <c r="M3" s="4" t="s">
        <v>43</v>
      </c>
      <c r="N3" s="4" t="s">
        <v>44</v>
      </c>
      <c r="O3" s="4" t="s">
        <v>30</v>
      </c>
      <c r="P3" s="4" t="s">
        <v>31</v>
      </c>
      <c r="Q3" s="4" t="s">
        <v>45</v>
      </c>
      <c r="R3" s="4" t="s">
        <v>32</v>
      </c>
      <c r="S3" s="4" t="s">
        <v>33</v>
      </c>
      <c r="T3" s="4" t="s">
        <v>56</v>
      </c>
    </row>
    <row r="4" spans="1:20" x14ac:dyDescent="0.3">
      <c r="A4" s="5" t="s">
        <v>76</v>
      </c>
      <c r="B4" s="6">
        <v>150</v>
      </c>
      <c r="C4" s="6">
        <v>20</v>
      </c>
      <c r="D4" s="7">
        <v>2.3E-2</v>
      </c>
      <c r="E4" s="7">
        <v>2.3E-2</v>
      </c>
      <c r="F4" s="7">
        <f>AVERAGE(D4:E4)</f>
        <v>2.3E-2</v>
      </c>
      <c r="G4" s="4">
        <f>(F4*18.447+0.185)/C4</f>
        <v>3.0464049999999999E-2</v>
      </c>
      <c r="H4" s="4">
        <f>G4/63.5</f>
        <v>4.797488188976378E-4</v>
      </c>
      <c r="I4" s="4">
        <f>H4*B4</f>
        <v>7.1962322834645667E-2</v>
      </c>
      <c r="J4" s="16">
        <f>'Обработка интактных растений'!$I$16</f>
        <v>1.3286551181102364</v>
      </c>
      <c r="K4" s="4">
        <f>J4-I4</f>
        <v>1.2566927952755906</v>
      </c>
      <c r="L4" s="4">
        <f t="shared" ref="L4:L12" si="0">K4/O4</f>
        <v>0.83601170521260681</v>
      </c>
      <c r="M4" s="4">
        <f>K4/P4</f>
        <v>14.518139271428304</v>
      </c>
      <c r="N4" s="4">
        <f>K4/Q4</f>
        <v>32.98406286812574</v>
      </c>
      <c r="O4" s="5">
        <v>1.5032000000000001</v>
      </c>
      <c r="P4" s="12">
        <v>8.6560183214991052E-2</v>
      </c>
      <c r="Q4" s="5">
        <v>3.8100000000000002E-2</v>
      </c>
      <c r="R4" s="34">
        <f>AVERAGE(L4:L6)</f>
        <v>0.89889950113748984</v>
      </c>
      <c r="S4" s="34">
        <f>AVERAGE(M4:M6)</f>
        <v>15.610245726419171</v>
      </c>
      <c r="T4" s="34">
        <f>AVERAGE(N4:N6)</f>
        <v>35.210268393099376</v>
      </c>
    </row>
    <row r="5" spans="1:20" x14ac:dyDescent="0.3">
      <c r="A5" s="5" t="s">
        <v>77</v>
      </c>
      <c r="B5" s="6">
        <v>150</v>
      </c>
      <c r="C5" s="6">
        <v>20</v>
      </c>
      <c r="D5" s="7">
        <v>3.7999999999999999E-2</v>
      </c>
      <c r="E5" s="7">
        <v>4.1000000000000002E-2</v>
      </c>
      <c r="F5" s="7">
        <f t="shared" ref="F5:F12" si="1">AVERAGE(D5:E5)</f>
        <v>3.95E-2</v>
      </c>
      <c r="G5" s="4">
        <f t="shared" ref="G5:G12" si="2">(F5*18.447+0.185)/C5</f>
        <v>4.5682824999999996E-2</v>
      </c>
      <c r="H5" s="4">
        <f t="shared" ref="H5:H12" si="3">G5/63.5</f>
        <v>7.1941456692913377E-4</v>
      </c>
      <c r="I5" s="4">
        <f t="shared" ref="I5:I12" si="4">H5*B5</f>
        <v>0.10791218503937007</v>
      </c>
      <c r="J5" s="16">
        <f>'Обработка интактных растений'!$I$16</f>
        <v>1.3286551181102364</v>
      </c>
      <c r="K5" s="4">
        <f t="shared" ref="K5:K12" si="5">J5-I5</f>
        <v>1.2207429330708663</v>
      </c>
      <c r="L5" s="4">
        <f t="shared" si="0"/>
        <v>0.95029031065768832</v>
      </c>
      <c r="M5" s="4">
        <f t="shared" ref="M5:M12" si="6">K5/P5</f>
        <v>16.502696065611424</v>
      </c>
      <c r="N5" s="4">
        <f t="shared" ref="N5:N12" si="7">K5/Q5</f>
        <v>37.33158816730478</v>
      </c>
      <c r="O5" s="5">
        <v>1.2846</v>
      </c>
      <c r="P5" s="12">
        <v>7.3972333261028145E-2</v>
      </c>
      <c r="Q5" s="5">
        <v>3.27E-2</v>
      </c>
      <c r="R5" s="35"/>
      <c r="S5" s="35"/>
      <c r="T5" s="35"/>
    </row>
    <row r="6" spans="1:20" x14ac:dyDescent="0.3">
      <c r="A6" s="5" t="s">
        <v>78</v>
      </c>
      <c r="B6" s="6">
        <v>150</v>
      </c>
      <c r="C6" s="6">
        <v>20</v>
      </c>
      <c r="D6" s="7">
        <v>2.7E-2</v>
      </c>
      <c r="E6" s="7">
        <v>2.5000000000000001E-2</v>
      </c>
      <c r="F6" s="7">
        <f t="shared" si="1"/>
        <v>2.6000000000000002E-2</v>
      </c>
      <c r="G6" s="4">
        <f t="shared" si="2"/>
        <v>3.32311E-2</v>
      </c>
      <c r="H6" s="4">
        <f t="shared" si="3"/>
        <v>5.2332440944881885E-4</v>
      </c>
      <c r="I6" s="4">
        <f t="shared" si="4"/>
        <v>7.8498661417322826E-2</v>
      </c>
      <c r="J6" s="16">
        <f>'Обработка интактных растений'!$I$16</f>
        <v>1.3286551181102364</v>
      </c>
      <c r="K6" s="4">
        <f t="shared" si="5"/>
        <v>1.2501564566929135</v>
      </c>
      <c r="L6" s="4">
        <f t="shared" si="0"/>
        <v>0.91039648754217417</v>
      </c>
      <c r="M6" s="4">
        <f t="shared" si="6"/>
        <v>15.809901842217785</v>
      </c>
      <c r="N6" s="4">
        <f t="shared" si="7"/>
        <v>35.315154143867616</v>
      </c>
      <c r="O6" s="5">
        <v>1.3732</v>
      </c>
      <c r="P6" s="12">
        <v>7.9074270616568465E-2</v>
      </c>
      <c r="Q6" s="5">
        <v>3.5400000000000001E-2</v>
      </c>
      <c r="R6" s="36"/>
      <c r="S6" s="36"/>
      <c r="T6" s="36"/>
    </row>
    <row r="7" spans="1:20" x14ac:dyDescent="0.3">
      <c r="A7" s="5" t="s">
        <v>69</v>
      </c>
      <c r="B7" s="6">
        <v>150</v>
      </c>
      <c r="C7" s="6">
        <v>20</v>
      </c>
      <c r="D7" s="7">
        <v>5.0000000000000001E-3</v>
      </c>
      <c r="E7" s="7">
        <v>5.0000000000000001E-3</v>
      </c>
      <c r="F7" s="7">
        <f t="shared" si="1"/>
        <v>5.0000000000000001E-3</v>
      </c>
      <c r="G7" s="4">
        <f t="shared" si="2"/>
        <v>1.3861750000000001E-2</v>
      </c>
      <c r="H7" s="4">
        <f t="shared" si="3"/>
        <v>2.1829527559055119E-4</v>
      </c>
      <c r="I7" s="4">
        <f t="shared" si="4"/>
        <v>3.2744291338582678E-2</v>
      </c>
      <c r="J7" s="16">
        <f>'Обработка интактных растений'!$I$16</f>
        <v>1.3286551181102364</v>
      </c>
      <c r="K7" s="4">
        <f t="shared" si="5"/>
        <v>1.2959108267716537</v>
      </c>
      <c r="L7" s="4">
        <f t="shared" si="0"/>
        <v>1.0482171210641864</v>
      </c>
      <c r="M7" s="4">
        <f t="shared" si="6"/>
        <v>18.196222492676885</v>
      </c>
      <c r="N7" s="4">
        <f t="shared" si="7"/>
        <v>41.80357505715012</v>
      </c>
      <c r="O7" s="5">
        <v>1.2363</v>
      </c>
      <c r="P7" s="12">
        <v>7.1218673397360155E-2</v>
      </c>
      <c r="Q7" s="5">
        <v>3.1E-2</v>
      </c>
      <c r="R7" s="34">
        <f>AVERAGE(L7:L9)</f>
        <v>1.0077320697330949</v>
      </c>
      <c r="S7" s="34">
        <f>AVERAGE(M7:M9)</f>
        <v>17.493433932135066</v>
      </c>
      <c r="T7" s="34">
        <f t="shared" ref="T7" si="8">AVERAGE(N7:N9)</f>
        <v>38.348836895369892</v>
      </c>
    </row>
    <row r="8" spans="1:20" x14ac:dyDescent="0.3">
      <c r="A8" s="5" t="s">
        <v>70</v>
      </c>
      <c r="B8" s="14">
        <v>150</v>
      </c>
      <c r="C8" s="14">
        <v>20</v>
      </c>
      <c r="D8" s="15">
        <v>6.0000000000000001E-3</v>
      </c>
      <c r="E8" s="15">
        <v>7.0000000000000001E-3</v>
      </c>
      <c r="F8" s="15">
        <f t="shared" si="1"/>
        <v>6.5000000000000006E-3</v>
      </c>
      <c r="G8" s="4">
        <f t="shared" si="2"/>
        <v>1.5245274999999999E-2</v>
      </c>
      <c r="H8" s="8">
        <f t="shared" si="3"/>
        <v>2.4008307086614172E-4</v>
      </c>
      <c r="I8" s="8">
        <f>H8*B8</f>
        <v>3.6012460629921257E-2</v>
      </c>
      <c r="J8" s="16">
        <f>'Обработка интактных растений'!$I$16</f>
        <v>1.3286551181102364</v>
      </c>
      <c r="K8" s="8">
        <f t="shared" si="5"/>
        <v>1.2926426574803151</v>
      </c>
      <c r="L8" s="8">
        <f t="shared" si="0"/>
        <v>1.0106666594842184</v>
      </c>
      <c r="M8" s="8">
        <f t="shared" si="6"/>
        <v>17.544376095703203</v>
      </c>
      <c r="N8" s="4">
        <f t="shared" si="7"/>
        <v>39.29005037934089</v>
      </c>
      <c r="O8" s="13">
        <v>1.2789999999999999</v>
      </c>
      <c r="P8" s="12">
        <v>7.3678462569945508E-2</v>
      </c>
      <c r="Q8" s="5">
        <v>3.2899999999999999E-2</v>
      </c>
      <c r="R8" s="35"/>
      <c r="S8" s="35"/>
      <c r="T8" s="35"/>
    </row>
    <row r="9" spans="1:20" x14ac:dyDescent="0.3">
      <c r="A9" s="5" t="s">
        <v>71</v>
      </c>
      <c r="B9" s="6">
        <v>150</v>
      </c>
      <c r="C9" s="6">
        <v>20</v>
      </c>
      <c r="D9" s="7">
        <v>5.0000000000000001E-3</v>
      </c>
      <c r="E9" s="7">
        <v>4.0000000000000001E-3</v>
      </c>
      <c r="F9" s="7">
        <f t="shared" si="1"/>
        <v>4.5000000000000005E-3</v>
      </c>
      <c r="G9" s="4">
        <f t="shared" si="2"/>
        <v>1.3400575000000001E-2</v>
      </c>
      <c r="H9" s="4">
        <f t="shared" si="3"/>
        <v>2.1103267716535436E-4</v>
      </c>
      <c r="I9" s="4">
        <f t="shared" si="4"/>
        <v>3.1654901574803156E-2</v>
      </c>
      <c r="J9" s="16">
        <f>'Обработка интактных растений'!$I$16</f>
        <v>1.3286551181102364</v>
      </c>
      <c r="K9" s="4">
        <f t="shared" si="5"/>
        <v>1.2970002165354333</v>
      </c>
      <c r="L9" s="4">
        <f t="shared" si="0"/>
        <v>0.96431242865087974</v>
      </c>
      <c r="M9" s="4">
        <f t="shared" si="6"/>
        <v>16.739703208025116</v>
      </c>
      <c r="N9" s="4">
        <f t="shared" si="7"/>
        <v>33.952885249618674</v>
      </c>
      <c r="O9" s="5">
        <v>1.345</v>
      </c>
      <c r="P9" s="12">
        <v>7.7480478621248405E-2</v>
      </c>
      <c r="Q9" s="5">
        <v>3.8199999999999998E-2</v>
      </c>
      <c r="R9" s="36"/>
      <c r="S9" s="36"/>
      <c r="T9" s="36"/>
    </row>
    <row r="10" spans="1:20" x14ac:dyDescent="0.3">
      <c r="A10" s="5" t="s">
        <v>72</v>
      </c>
      <c r="B10" s="6">
        <v>150</v>
      </c>
      <c r="C10" s="6">
        <v>20</v>
      </c>
      <c r="D10" s="7">
        <v>6.0000000000000001E-3</v>
      </c>
      <c r="E10" s="7">
        <v>6.0000000000000001E-3</v>
      </c>
      <c r="F10" s="7">
        <f t="shared" si="1"/>
        <v>6.0000000000000001E-3</v>
      </c>
      <c r="G10" s="4">
        <f t="shared" si="2"/>
        <v>1.47841E-2</v>
      </c>
      <c r="H10" s="4">
        <f t="shared" si="3"/>
        <v>2.3282047244094488E-4</v>
      </c>
      <c r="I10" s="4">
        <f t="shared" si="4"/>
        <v>3.4923070866141735E-2</v>
      </c>
      <c r="J10" s="16">
        <f>'Обработка интактных растений'!$I$16</f>
        <v>1.3286551181102364</v>
      </c>
      <c r="K10" s="4">
        <f t="shared" si="5"/>
        <v>1.2937320472440947</v>
      </c>
      <c r="L10" s="4">
        <f t="shared" si="0"/>
        <v>1.0593940773371231</v>
      </c>
      <c r="M10" s="4">
        <f t="shared" si="6"/>
        <v>18.296280363245419</v>
      </c>
      <c r="N10" s="4">
        <f t="shared" si="7"/>
        <v>41.465770745003041</v>
      </c>
      <c r="O10" s="5">
        <v>1.2212000000000001</v>
      </c>
      <c r="P10" s="12">
        <v>7.0710112741987449E-2</v>
      </c>
      <c r="Q10" s="5">
        <v>3.1199999999999999E-2</v>
      </c>
      <c r="R10" s="34">
        <f>AVERAGE(L10:L12)</f>
        <v>0.98940706025803216</v>
      </c>
      <c r="S10" s="34">
        <f t="shared" ref="S10:T10" si="9">AVERAGE(M10:M12)</f>
        <v>17.087568597096091</v>
      </c>
      <c r="T10" s="34">
        <f t="shared" si="9"/>
        <v>39.990692319177519</v>
      </c>
    </row>
    <row r="11" spans="1:20" x14ac:dyDescent="0.3">
      <c r="A11" s="5" t="s">
        <v>73</v>
      </c>
      <c r="B11" s="6">
        <v>150</v>
      </c>
      <c r="C11" s="6">
        <v>20</v>
      </c>
      <c r="D11" s="7">
        <v>8.0000000000000002E-3</v>
      </c>
      <c r="E11" s="7">
        <v>7.0000000000000001E-3</v>
      </c>
      <c r="F11" s="7">
        <f t="shared" si="1"/>
        <v>7.4999999999999997E-3</v>
      </c>
      <c r="G11" s="4">
        <f t="shared" si="2"/>
        <v>1.6167624999999998E-2</v>
      </c>
      <c r="H11" s="4">
        <f t="shared" si="3"/>
        <v>2.5460826771653538E-4</v>
      </c>
      <c r="I11" s="4">
        <f t="shared" si="4"/>
        <v>3.8191240157480308E-2</v>
      </c>
      <c r="J11" s="16">
        <f>'Обработка интактных растений'!$I$16</f>
        <v>1.3286551181102364</v>
      </c>
      <c r="K11" s="4">
        <f t="shared" si="5"/>
        <v>1.2904638779527562</v>
      </c>
      <c r="L11" s="4">
        <f t="shared" si="0"/>
        <v>1.0673812059162582</v>
      </c>
      <c r="M11" s="4">
        <f t="shared" si="6"/>
        <v>18.434222180088941</v>
      </c>
      <c r="N11" s="4">
        <f t="shared" si="7"/>
        <v>39.706580860084806</v>
      </c>
      <c r="O11" s="5">
        <v>1.2090000000000001</v>
      </c>
      <c r="P11" s="12">
        <v>7.0003706440437949E-2</v>
      </c>
      <c r="Q11" s="5">
        <v>3.2500000000000001E-2</v>
      </c>
      <c r="R11" s="35"/>
      <c r="S11" s="35"/>
      <c r="T11" s="35"/>
    </row>
    <row r="12" spans="1:20" x14ac:dyDescent="0.3">
      <c r="A12" s="5" t="s">
        <v>74</v>
      </c>
      <c r="B12" s="14">
        <v>150</v>
      </c>
      <c r="C12" s="14">
        <v>20</v>
      </c>
      <c r="D12" s="15">
        <v>4.0000000000000001E-3</v>
      </c>
      <c r="E12" s="15">
        <v>6.0000000000000001E-3</v>
      </c>
      <c r="F12" s="15">
        <f t="shared" si="1"/>
        <v>5.0000000000000001E-3</v>
      </c>
      <c r="G12" s="4">
        <f t="shared" si="2"/>
        <v>1.3861750000000001E-2</v>
      </c>
      <c r="H12" s="8">
        <f t="shared" si="3"/>
        <v>2.1829527559055119E-4</v>
      </c>
      <c r="I12" s="8">
        <f t="shared" si="4"/>
        <v>3.2744291338582678E-2</v>
      </c>
      <c r="J12" s="16">
        <f>'Обработка интактных растений'!$I$16</f>
        <v>1.3286551181102364</v>
      </c>
      <c r="K12" s="8">
        <f t="shared" si="5"/>
        <v>1.2959108267716537</v>
      </c>
      <c r="L12" s="8">
        <f t="shared" si="0"/>
        <v>0.8414458975207153</v>
      </c>
      <c r="M12" s="8">
        <f t="shared" si="6"/>
        <v>14.532203247953918</v>
      </c>
      <c r="N12" s="8">
        <f t="shared" si="7"/>
        <v>38.799725352444725</v>
      </c>
      <c r="O12" s="13">
        <v>1.5401</v>
      </c>
      <c r="P12" s="12">
        <v>8.9175110247244394E-2</v>
      </c>
      <c r="Q12" s="5">
        <v>3.3399999999999999E-2</v>
      </c>
      <c r="R12" s="36"/>
      <c r="S12" s="36"/>
      <c r="T12" s="36"/>
    </row>
    <row r="14" spans="1:20" x14ac:dyDescent="0.3">
      <c r="A14" s="17" t="s">
        <v>47</v>
      </c>
      <c r="B14" s="10" t="s">
        <v>48</v>
      </c>
      <c r="C14" s="10" t="s">
        <v>49</v>
      </c>
    </row>
    <row r="15" spans="1:20" ht="40.5" x14ac:dyDescent="0.3">
      <c r="A15" s="17" t="s">
        <v>50</v>
      </c>
      <c r="B15" s="11" t="s">
        <v>40</v>
      </c>
      <c r="C15" s="10" t="s">
        <v>51</v>
      </c>
    </row>
    <row r="16" spans="1:20" x14ac:dyDescent="0.3">
      <c r="A16" s="10">
        <v>0.1</v>
      </c>
      <c r="B16" s="10">
        <f>A16*10</f>
        <v>1</v>
      </c>
      <c r="C16" s="10">
        <v>4.4999999999999998E-2</v>
      </c>
    </row>
    <row r="17" spans="1:3" x14ac:dyDescent="0.3">
      <c r="A17" s="10">
        <v>0.2</v>
      </c>
      <c r="B17" s="10">
        <f t="shared" ref="B17:B20" si="10">A17*10</f>
        <v>2</v>
      </c>
      <c r="C17" s="10">
        <v>9.8000000000000004E-2</v>
      </c>
    </row>
    <row r="18" spans="1:3" x14ac:dyDescent="0.3">
      <c r="A18" s="10">
        <v>0.3</v>
      </c>
      <c r="B18" s="10">
        <f t="shared" si="10"/>
        <v>3</v>
      </c>
      <c r="C18" s="10">
        <v>0.151</v>
      </c>
    </row>
    <row r="19" spans="1:3" x14ac:dyDescent="0.3">
      <c r="A19" s="10">
        <v>0.4</v>
      </c>
      <c r="B19" s="10">
        <f t="shared" si="10"/>
        <v>4</v>
      </c>
      <c r="C19" s="10">
        <v>0.20799999999999999</v>
      </c>
    </row>
    <row r="20" spans="1:3" x14ac:dyDescent="0.3">
      <c r="A20" s="10">
        <v>0.5</v>
      </c>
      <c r="B20" s="10">
        <f t="shared" si="10"/>
        <v>5</v>
      </c>
      <c r="C20" s="10">
        <v>0.26100000000000001</v>
      </c>
    </row>
  </sheetData>
  <mergeCells count="9">
    <mergeCell ref="R10:R12"/>
    <mergeCell ref="S10:S12"/>
    <mergeCell ref="T10:T12"/>
    <mergeCell ref="R4:R6"/>
    <mergeCell ref="S4:S6"/>
    <mergeCell ref="T4:T6"/>
    <mergeCell ref="R7:R9"/>
    <mergeCell ref="S7:S9"/>
    <mergeCell ref="T7:T9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22"/>
  <sheetViews>
    <sheetView topLeftCell="I1" workbookViewId="0">
      <selection activeCell="K3" sqref="K3:L5"/>
    </sheetView>
  </sheetViews>
  <sheetFormatPr defaultRowHeight="15" x14ac:dyDescent="0.25"/>
  <cols>
    <col min="1" max="1" width="21.28515625" customWidth="1"/>
    <col min="2" max="2" width="12.42578125" customWidth="1"/>
    <col min="3" max="3" width="9.5703125" bestFit="1" customWidth="1"/>
    <col min="4" max="5" width="9.28515625" bestFit="1" customWidth="1"/>
    <col min="6" max="6" width="11.42578125" customWidth="1"/>
    <col min="7" max="7" width="12.28515625" bestFit="1" customWidth="1"/>
    <col min="8" max="9" width="12" bestFit="1" customWidth="1"/>
    <col min="10" max="10" width="19.7109375" customWidth="1"/>
    <col min="11" max="12" width="17.5703125" customWidth="1"/>
    <col min="13" max="13" width="18.28515625" customWidth="1"/>
    <col min="14" max="15" width="17.28515625" customWidth="1"/>
    <col min="16" max="16" width="30.5703125" customWidth="1"/>
    <col min="17" max="17" width="31.85546875" customWidth="1"/>
    <col min="18" max="18" width="26.5703125" customWidth="1"/>
  </cols>
  <sheetData>
    <row r="2" spans="1:18" ht="60.75" x14ac:dyDescent="0.3">
      <c r="A2" s="4" t="s">
        <v>0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42</v>
      </c>
      <c r="K2" s="4" t="s">
        <v>43</v>
      </c>
      <c r="L2" s="4" t="s">
        <v>44</v>
      </c>
      <c r="M2" s="4" t="s">
        <v>30</v>
      </c>
      <c r="N2" s="4" t="s">
        <v>31</v>
      </c>
      <c r="O2" s="4" t="s">
        <v>45</v>
      </c>
      <c r="P2" s="4" t="s">
        <v>32</v>
      </c>
      <c r="Q2" s="4" t="s">
        <v>33</v>
      </c>
      <c r="R2" s="4" t="s">
        <v>46</v>
      </c>
    </row>
    <row r="3" spans="1:18" ht="20.25" x14ac:dyDescent="0.3">
      <c r="A3" s="5" t="s">
        <v>76</v>
      </c>
      <c r="B3" s="6">
        <v>20</v>
      </c>
      <c r="C3" s="6">
        <v>5</v>
      </c>
      <c r="D3" s="7">
        <v>0.20699999999999999</v>
      </c>
      <c r="E3" s="7">
        <v>0.20899999999999999</v>
      </c>
      <c r="F3" s="7">
        <f>AVERAGE(D3:E3)</f>
        <v>0.20799999999999999</v>
      </c>
      <c r="G3" s="4">
        <f>(F3*91.516+0.1593)/C3</f>
        <v>3.8389256000000005</v>
      </c>
      <c r="H3" s="4">
        <f>G3/63.5</f>
        <v>6.0455521259842528E-2</v>
      </c>
      <c r="I3" s="4">
        <f>H3*B3</f>
        <v>1.2091104251968505</v>
      </c>
      <c r="J3" s="4">
        <f>I3/M3</f>
        <v>0.8043576538031203</v>
      </c>
      <c r="K3" s="4">
        <f>I3/N3</f>
        <v>13.968436529226858</v>
      </c>
      <c r="L3" s="4">
        <f>I3/O3</f>
        <v>31.735181763696861</v>
      </c>
      <c r="M3" s="5">
        <v>1.5032000000000001</v>
      </c>
      <c r="N3" s="12">
        <v>8.6560183214991052E-2</v>
      </c>
      <c r="O3" s="5">
        <v>3.8100000000000002E-2</v>
      </c>
      <c r="P3" s="34">
        <f>AVERAGE(J3:J5)</f>
        <v>0.85157694027558539</v>
      </c>
      <c r="Q3" s="34">
        <f>AVERAGE(K3:K5)</f>
        <v>14.788444398770238</v>
      </c>
      <c r="R3" s="34">
        <f>AVERAGE(L3:L5)</f>
        <v>33.355391842363709</v>
      </c>
    </row>
    <row r="4" spans="1:18" ht="20.25" x14ac:dyDescent="0.3">
      <c r="A4" s="5" t="s">
        <v>77</v>
      </c>
      <c r="B4" s="6">
        <v>20</v>
      </c>
      <c r="C4" s="6">
        <v>5</v>
      </c>
      <c r="D4" s="7">
        <v>0.19500000000000001</v>
      </c>
      <c r="E4" s="7">
        <v>0.192</v>
      </c>
      <c r="F4" s="7">
        <f t="shared" ref="F4:F11" si="0">AVERAGE(D4:E4)</f>
        <v>0.19350000000000001</v>
      </c>
      <c r="G4" s="4">
        <f t="shared" ref="G4:G11" si="1">(F4*91.516+0.1593)/C4</f>
        <v>3.5735292000000003</v>
      </c>
      <c r="H4" s="4">
        <f t="shared" ref="H4:H11" si="2">G4/63.5</f>
        <v>5.6276050393700795E-2</v>
      </c>
      <c r="I4" s="4">
        <f t="shared" ref="I4:I11" si="3">H4*B4</f>
        <v>1.1255210078740159</v>
      </c>
      <c r="J4" s="4">
        <f t="shared" ref="J4:J11" si="4">I4/M4</f>
        <v>0.87616457097463485</v>
      </c>
      <c r="K4" s="4">
        <f t="shared" ref="K4:K11" si="5">I4/N4</f>
        <v>15.215432017026689</v>
      </c>
      <c r="L4" s="4">
        <f t="shared" ref="L4:L11" si="6">I4/O4</f>
        <v>34.419602687278775</v>
      </c>
      <c r="M4" s="5">
        <v>1.2846</v>
      </c>
      <c r="N4" s="12">
        <v>7.3972333261028145E-2</v>
      </c>
      <c r="O4" s="5">
        <v>3.27E-2</v>
      </c>
      <c r="P4" s="35"/>
      <c r="Q4" s="35"/>
      <c r="R4" s="35"/>
    </row>
    <row r="5" spans="1:18" ht="20.25" x14ac:dyDescent="0.3">
      <c r="A5" s="5" t="s">
        <v>78</v>
      </c>
      <c r="B5" s="6">
        <v>20</v>
      </c>
      <c r="C5" s="6">
        <v>5</v>
      </c>
      <c r="D5" s="7">
        <v>0.20599999999999999</v>
      </c>
      <c r="E5" s="7">
        <v>0.20699999999999999</v>
      </c>
      <c r="F5" s="7">
        <f t="shared" si="0"/>
        <v>0.20649999999999999</v>
      </c>
      <c r="G5" s="4">
        <f t="shared" si="1"/>
        <v>3.8114707999999995</v>
      </c>
      <c r="H5" s="4">
        <f t="shared" si="2"/>
        <v>6.0023162204724402E-2</v>
      </c>
      <c r="I5" s="4">
        <f t="shared" si="3"/>
        <v>1.200463244094488</v>
      </c>
      <c r="J5" s="4">
        <f t="shared" si="4"/>
        <v>0.87420859604900092</v>
      </c>
      <c r="K5" s="4">
        <f t="shared" si="5"/>
        <v>15.181464650057164</v>
      </c>
      <c r="L5" s="4">
        <f t="shared" si="6"/>
        <v>33.911391076115478</v>
      </c>
      <c r="M5" s="5">
        <v>1.3732</v>
      </c>
      <c r="N5" s="12">
        <v>7.9074270616568465E-2</v>
      </c>
      <c r="O5" s="5">
        <v>3.5400000000000001E-2</v>
      </c>
      <c r="P5" s="36"/>
      <c r="Q5" s="36"/>
      <c r="R5" s="36"/>
    </row>
    <row r="6" spans="1:18" ht="20.25" x14ac:dyDescent="0.3">
      <c r="A6" s="5" t="s">
        <v>69</v>
      </c>
      <c r="B6" s="6">
        <v>20</v>
      </c>
      <c r="C6" s="6">
        <v>5</v>
      </c>
      <c r="D6" s="7">
        <v>0.216</v>
      </c>
      <c r="E6" s="7">
        <v>0.218</v>
      </c>
      <c r="F6" s="7">
        <f t="shared" si="0"/>
        <v>0.217</v>
      </c>
      <c r="G6" s="4">
        <f t="shared" si="1"/>
        <v>4.0036544000000003</v>
      </c>
      <c r="H6" s="4">
        <f t="shared" si="2"/>
        <v>6.3049675590551191E-2</v>
      </c>
      <c r="I6" s="4">
        <f t="shared" si="3"/>
        <v>1.2609935118110238</v>
      </c>
      <c r="J6" s="4">
        <f t="shared" si="4"/>
        <v>1.0199737214357549</v>
      </c>
      <c r="K6" s="4">
        <f t="shared" si="5"/>
        <v>17.705939350700749</v>
      </c>
      <c r="L6" s="4">
        <f t="shared" si="6"/>
        <v>40.677210058420123</v>
      </c>
      <c r="M6" s="5">
        <v>1.2363</v>
      </c>
      <c r="N6" s="12">
        <v>7.1218673397360155E-2</v>
      </c>
      <c r="O6" s="5">
        <v>3.1E-2</v>
      </c>
      <c r="P6" s="34">
        <f>AVERAGE(J6:J8)</f>
        <v>0.96953172146889421</v>
      </c>
      <c r="Q6" s="34">
        <f>AVERAGE(K6:K8)</f>
        <v>16.830306014888833</v>
      </c>
      <c r="R6" s="34">
        <f t="shared" ref="R6" si="7">AVERAGE(L6:L8)</f>
        <v>36.915839757109353</v>
      </c>
    </row>
    <row r="7" spans="1:18" ht="20.25" x14ac:dyDescent="0.3">
      <c r="A7" s="5" t="s">
        <v>70</v>
      </c>
      <c r="B7" s="6">
        <v>20</v>
      </c>
      <c r="C7" s="6">
        <v>5</v>
      </c>
      <c r="D7" s="15">
        <v>0.21299999999999999</v>
      </c>
      <c r="E7" s="15">
        <v>0.216</v>
      </c>
      <c r="F7" s="15">
        <f t="shared" si="0"/>
        <v>0.2145</v>
      </c>
      <c r="G7" s="4">
        <f t="shared" si="1"/>
        <v>3.9578964000000001</v>
      </c>
      <c r="H7" s="8">
        <f t="shared" si="2"/>
        <v>6.2329077165354331E-2</v>
      </c>
      <c r="I7" s="8">
        <f>H7*B7</f>
        <v>1.2465815433070866</v>
      </c>
      <c r="J7" s="4">
        <f t="shared" si="4"/>
        <v>0.97465327858255413</v>
      </c>
      <c r="K7" s="4">
        <f t="shared" si="5"/>
        <v>16.919212207009121</v>
      </c>
      <c r="L7" s="4">
        <f t="shared" si="6"/>
        <v>37.890016513893208</v>
      </c>
      <c r="M7" s="13">
        <v>1.2789999999999999</v>
      </c>
      <c r="N7" s="12">
        <v>7.3678462569945508E-2</v>
      </c>
      <c r="O7" s="5">
        <v>3.2899999999999999E-2</v>
      </c>
      <c r="P7" s="35"/>
      <c r="Q7" s="35"/>
      <c r="R7" s="35"/>
    </row>
    <row r="8" spans="1:18" ht="20.25" x14ac:dyDescent="0.3">
      <c r="A8" s="5" t="s">
        <v>71</v>
      </c>
      <c r="B8" s="6">
        <v>20</v>
      </c>
      <c r="C8" s="6">
        <v>5</v>
      </c>
      <c r="D8" s="7">
        <v>0.21199999999999999</v>
      </c>
      <c r="E8" s="7">
        <v>0.21099999999999999</v>
      </c>
      <c r="F8" s="7">
        <f t="shared" si="0"/>
        <v>0.21149999999999999</v>
      </c>
      <c r="G8" s="4">
        <f t="shared" si="1"/>
        <v>3.9029868000000008</v>
      </c>
      <c r="H8" s="4">
        <f t="shared" si="2"/>
        <v>6.1464359055118122E-2</v>
      </c>
      <c r="I8" s="4">
        <f t="shared" si="3"/>
        <v>1.2292871811023625</v>
      </c>
      <c r="J8" s="4">
        <f t="shared" si="4"/>
        <v>0.91396816438837358</v>
      </c>
      <c r="K8" s="4">
        <f t="shared" si="5"/>
        <v>15.865766486956629</v>
      </c>
      <c r="L8" s="4">
        <f t="shared" si="6"/>
        <v>32.180292699014728</v>
      </c>
      <c r="M8" s="5">
        <v>1.345</v>
      </c>
      <c r="N8" s="12">
        <v>7.7480478621248405E-2</v>
      </c>
      <c r="O8" s="5">
        <v>3.8199999999999998E-2</v>
      </c>
      <c r="P8" s="36"/>
      <c r="Q8" s="36"/>
      <c r="R8" s="36"/>
    </row>
    <row r="9" spans="1:18" ht="20.25" x14ac:dyDescent="0.3">
      <c r="A9" s="5" t="s">
        <v>72</v>
      </c>
      <c r="B9" s="6">
        <v>20</v>
      </c>
      <c r="C9" s="6">
        <v>5</v>
      </c>
      <c r="D9" s="7">
        <v>0.222</v>
      </c>
      <c r="E9" s="7">
        <v>0.219</v>
      </c>
      <c r="F9" s="7">
        <f t="shared" si="0"/>
        <v>0.2205</v>
      </c>
      <c r="G9" s="4">
        <f t="shared" si="1"/>
        <v>4.0677155999999997</v>
      </c>
      <c r="H9" s="4">
        <f t="shared" si="2"/>
        <v>6.4058513385826771E-2</v>
      </c>
      <c r="I9" s="4">
        <f t="shared" si="3"/>
        <v>1.2811702677165355</v>
      </c>
      <c r="J9" s="4">
        <f t="shared" si="4"/>
        <v>1.0491076545336844</v>
      </c>
      <c r="K9" s="4">
        <f t="shared" si="5"/>
        <v>18.118628553052506</v>
      </c>
      <c r="L9" s="4">
        <f t="shared" si="6"/>
        <v>41.06314960629922</v>
      </c>
      <c r="M9" s="5">
        <v>1.2212000000000001</v>
      </c>
      <c r="N9" s="12">
        <v>7.0710112741987449E-2</v>
      </c>
      <c r="O9" s="5">
        <v>3.1199999999999999E-2</v>
      </c>
      <c r="P9" s="34">
        <f>AVERAGE(J9:J11)</f>
        <v>0.97596984519668339</v>
      </c>
      <c r="Q9" s="34">
        <f t="shared" ref="Q9:R9" si="8">AVERAGE(K9:K11)</f>
        <v>16.855500984747692</v>
      </c>
      <c r="R9" s="34">
        <f t="shared" si="8"/>
        <v>39.439066576235781</v>
      </c>
    </row>
    <row r="10" spans="1:18" ht="20.25" x14ac:dyDescent="0.3">
      <c r="A10" s="5" t="s">
        <v>73</v>
      </c>
      <c r="B10" s="6">
        <v>20</v>
      </c>
      <c r="C10" s="6">
        <v>5</v>
      </c>
      <c r="D10" s="7">
        <v>0.218</v>
      </c>
      <c r="E10" s="7">
        <v>0.22</v>
      </c>
      <c r="F10" s="7">
        <f t="shared" si="0"/>
        <v>0.219</v>
      </c>
      <c r="G10" s="4">
        <f t="shared" si="1"/>
        <v>4.0402608000000004</v>
      </c>
      <c r="H10" s="4">
        <f t="shared" si="2"/>
        <v>6.3626154330708673E-2</v>
      </c>
      <c r="I10" s="4">
        <f t="shared" si="3"/>
        <v>1.2725230866141735</v>
      </c>
      <c r="J10" s="4">
        <f t="shared" si="4"/>
        <v>1.0525418416990682</v>
      </c>
      <c r="K10" s="4">
        <f t="shared" si="5"/>
        <v>18.177938730956892</v>
      </c>
      <c r="L10" s="4">
        <f t="shared" si="6"/>
        <v>39.154556511205335</v>
      </c>
      <c r="M10" s="5">
        <v>1.2090000000000001</v>
      </c>
      <c r="N10" s="12">
        <v>7.0003706440437949E-2</v>
      </c>
      <c r="O10" s="5">
        <v>3.2500000000000001E-2</v>
      </c>
      <c r="P10" s="35"/>
      <c r="Q10" s="35"/>
      <c r="R10" s="35"/>
    </row>
    <row r="11" spans="1:18" ht="20.25" x14ac:dyDescent="0.3">
      <c r="A11" s="5" t="s">
        <v>74</v>
      </c>
      <c r="B11" s="6">
        <v>20</v>
      </c>
      <c r="C11" s="6">
        <v>5</v>
      </c>
      <c r="D11" s="15">
        <v>0.22</v>
      </c>
      <c r="E11" s="15">
        <v>0.218</v>
      </c>
      <c r="F11" s="15">
        <f t="shared" si="0"/>
        <v>0.219</v>
      </c>
      <c r="G11" s="4">
        <f t="shared" si="1"/>
        <v>4.0402608000000004</v>
      </c>
      <c r="H11" s="8">
        <f t="shared" si="2"/>
        <v>6.3626154330708673E-2</v>
      </c>
      <c r="I11" s="8">
        <f t="shared" si="3"/>
        <v>1.2725230866141735</v>
      </c>
      <c r="J11" s="4">
        <f t="shared" si="4"/>
        <v>0.82626003935729719</v>
      </c>
      <c r="K11" s="4">
        <f t="shared" si="5"/>
        <v>14.269935670233677</v>
      </c>
      <c r="L11" s="4">
        <f t="shared" si="6"/>
        <v>38.099493611202796</v>
      </c>
      <c r="M11" s="13">
        <v>1.5401</v>
      </c>
      <c r="N11" s="12">
        <v>8.9175110247244394E-2</v>
      </c>
      <c r="O11" s="5">
        <v>3.3399999999999999E-2</v>
      </c>
      <c r="P11" s="36"/>
      <c r="Q11" s="36"/>
      <c r="R11" s="36"/>
    </row>
    <row r="13" spans="1:18" ht="20.25" x14ac:dyDescent="0.3">
      <c r="L13" s="25"/>
      <c r="P13">
        <v>0.89889950113748984</v>
      </c>
      <c r="Q13">
        <v>15.610245726419171</v>
      </c>
      <c r="R13">
        <v>35.210268393099376</v>
      </c>
    </row>
    <row r="14" spans="1:18" ht="20.25" x14ac:dyDescent="0.3">
      <c r="L14" s="25"/>
    </row>
    <row r="15" spans="1:18" ht="20.25" x14ac:dyDescent="0.3">
      <c r="L15" s="25"/>
    </row>
    <row r="16" spans="1:18" ht="20.25" x14ac:dyDescent="0.3">
      <c r="A16" s="17" t="s">
        <v>47</v>
      </c>
      <c r="B16" s="10" t="s">
        <v>52</v>
      </c>
      <c r="C16" s="10" t="s">
        <v>49</v>
      </c>
      <c r="P16">
        <v>1.0077320697330949</v>
      </c>
      <c r="Q16">
        <v>17.493433932135066</v>
      </c>
      <c r="R16">
        <v>38.348836895369892</v>
      </c>
    </row>
    <row r="17" spans="1:18" ht="40.5" x14ac:dyDescent="0.3">
      <c r="A17" s="17" t="s">
        <v>50</v>
      </c>
      <c r="B17" s="11" t="s">
        <v>40</v>
      </c>
      <c r="C17" s="10" t="s">
        <v>51</v>
      </c>
    </row>
    <row r="18" spans="1:18" ht="20.25" x14ac:dyDescent="0.3">
      <c r="A18" s="10">
        <v>1</v>
      </c>
      <c r="B18" s="10">
        <f>A18*10</f>
        <v>10</v>
      </c>
      <c r="C18" s="10">
        <v>0.106</v>
      </c>
    </row>
    <row r="19" spans="1:18" ht="20.25" x14ac:dyDescent="0.3">
      <c r="A19" s="10">
        <v>1.5</v>
      </c>
      <c r="B19" s="10">
        <f t="shared" ref="B19:B22" si="9">A19*10</f>
        <v>15</v>
      </c>
      <c r="C19" s="10">
        <v>0.16300000000000001</v>
      </c>
      <c r="P19">
        <v>0.98940706025803216</v>
      </c>
      <c r="Q19">
        <v>17.087568597096091</v>
      </c>
      <c r="R19">
        <v>39.990692319177519</v>
      </c>
    </row>
    <row r="20" spans="1:18" ht="20.25" x14ac:dyDescent="0.3">
      <c r="A20" s="10">
        <v>2</v>
      </c>
      <c r="B20" s="10">
        <f t="shared" si="9"/>
        <v>20</v>
      </c>
      <c r="C20" s="10">
        <v>0.22</v>
      </c>
    </row>
    <row r="21" spans="1:18" ht="20.25" x14ac:dyDescent="0.3">
      <c r="A21" s="10">
        <v>2.5</v>
      </c>
      <c r="B21" s="10">
        <f t="shared" si="9"/>
        <v>25</v>
      </c>
      <c r="C21" s="10">
        <v>0.26900000000000002</v>
      </c>
    </row>
    <row r="22" spans="1:18" ht="20.25" x14ac:dyDescent="0.3">
      <c r="A22" s="10">
        <v>3</v>
      </c>
      <c r="B22" s="10">
        <f t="shared" si="9"/>
        <v>30</v>
      </c>
      <c r="C22" s="10">
        <v>0.32600000000000001</v>
      </c>
    </row>
  </sheetData>
  <mergeCells count="9">
    <mergeCell ref="P9:P11"/>
    <mergeCell ref="Q9:Q11"/>
    <mergeCell ref="R9:R11"/>
    <mergeCell ref="P3:P5"/>
    <mergeCell ref="Q3:Q5"/>
    <mergeCell ref="R3:R5"/>
    <mergeCell ref="P6:P8"/>
    <mergeCell ref="Q6:Q8"/>
    <mergeCell ref="R6:R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8"/>
  <sheetViews>
    <sheetView topLeftCell="A10" workbookViewId="0">
      <selection activeCell="J6" sqref="J6:K8"/>
    </sheetView>
  </sheetViews>
  <sheetFormatPr defaultRowHeight="15" x14ac:dyDescent="0.25"/>
  <cols>
    <col min="1" max="1" width="21.28515625" customWidth="1"/>
    <col min="2" max="2" width="12.42578125" customWidth="1"/>
    <col min="3" max="3" width="11.5703125" bestFit="1" customWidth="1"/>
    <col min="4" max="5" width="10" bestFit="1" customWidth="1"/>
    <col min="6" max="6" width="11.42578125" customWidth="1"/>
    <col min="7" max="9" width="12.28515625" bestFit="1" customWidth="1"/>
    <col min="10" max="10" width="19.7109375" customWidth="1"/>
    <col min="11" max="11" width="17.5703125" customWidth="1"/>
    <col min="12" max="12" width="18.28515625" customWidth="1"/>
    <col min="13" max="13" width="17.28515625" customWidth="1"/>
    <col min="14" max="14" width="30.5703125" customWidth="1"/>
    <col min="15" max="15" width="31.85546875" customWidth="1"/>
  </cols>
  <sheetData>
    <row r="2" spans="1:15" ht="81" x14ac:dyDescent="0.3">
      <c r="A2" s="4" t="s">
        <v>0</v>
      </c>
      <c r="B2" s="21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57</v>
      </c>
      <c r="K2" s="4" t="s">
        <v>58</v>
      </c>
      <c r="L2" s="4" t="s">
        <v>30</v>
      </c>
      <c r="M2" s="4" t="s">
        <v>31</v>
      </c>
      <c r="N2" s="4" t="s">
        <v>32</v>
      </c>
      <c r="O2" s="4" t="s">
        <v>33</v>
      </c>
    </row>
    <row r="3" spans="1:15" ht="20.25" x14ac:dyDescent="0.3">
      <c r="A3" s="4" t="s">
        <v>59</v>
      </c>
      <c r="B3" s="21">
        <f>25.1+0.7+0.1+6*0.0143+2*0.01667</f>
        <v>26.01914</v>
      </c>
      <c r="C3" s="6">
        <v>10</v>
      </c>
      <c r="D3" s="4">
        <v>3.6999999999999998E-2</v>
      </c>
      <c r="E3" s="4">
        <v>4.2999999999999997E-2</v>
      </c>
      <c r="F3" s="7">
        <f t="shared" ref="F3:F5" si="0">AVERAGE(D3:E3)</f>
        <v>3.9999999999999994E-2</v>
      </c>
      <c r="G3" s="4">
        <f>(F3*28.539+0.194)/C3</f>
        <v>0.13355599999999998</v>
      </c>
      <c r="H3" s="4">
        <f t="shared" ref="H3:H5" si="1">G3/63.5</f>
        <v>2.1032440944881887E-3</v>
      </c>
      <c r="I3" s="4">
        <f t="shared" ref="I3:I5" si="2">H3*B3</f>
        <v>5.4724602548661412E-2</v>
      </c>
      <c r="J3" s="4">
        <f>I3/L3</f>
        <v>5.2544025490793476E-2</v>
      </c>
      <c r="K3" s="4">
        <f>I3/M3</f>
        <v>0.93706511213461319</v>
      </c>
      <c r="L3" s="4">
        <v>1.0415000000000001</v>
      </c>
      <c r="M3" s="4">
        <v>5.8400000000000001E-2</v>
      </c>
      <c r="N3" s="34">
        <f>AVERAGE(J3:J5)</f>
        <v>5.4411541318657768E-2</v>
      </c>
      <c r="O3" s="34">
        <f>AVERAGE(K3:K5)</f>
        <v>0.94403562412272224</v>
      </c>
    </row>
    <row r="4" spans="1:15" ht="20.25" x14ac:dyDescent="0.3">
      <c r="A4" s="4" t="s">
        <v>60</v>
      </c>
      <c r="B4" s="21">
        <f>25+0.6+0.1+0.1+0.01667*4</f>
        <v>25.866680000000006</v>
      </c>
      <c r="C4" s="6">
        <v>10</v>
      </c>
      <c r="D4" s="4">
        <v>5.1999999999999998E-2</v>
      </c>
      <c r="E4" s="4">
        <v>5.8000000000000003E-2</v>
      </c>
      <c r="F4" s="7">
        <f t="shared" si="0"/>
        <v>5.5E-2</v>
      </c>
      <c r="G4" s="4">
        <f t="shared" ref="G4:G8" si="3">(F4*28.539+0.194)/C4</f>
        <v>0.17636450000000001</v>
      </c>
      <c r="H4" s="4">
        <f t="shared" si="1"/>
        <v>2.7773937007874016E-3</v>
      </c>
      <c r="I4" s="4">
        <f t="shared" si="2"/>
        <v>7.1841954092283486E-2</v>
      </c>
      <c r="J4" s="4">
        <f t="shared" ref="J4:J8" si="4">I4/L4</f>
        <v>5.7913707450450214E-2</v>
      </c>
      <c r="K4" s="4">
        <f t="shared" ref="K4:K8" si="5">I4/M4</f>
        <v>0.97744155227596585</v>
      </c>
      <c r="L4" s="4">
        <v>1.2404999999999999</v>
      </c>
      <c r="M4" s="4">
        <v>7.3499999999999996E-2</v>
      </c>
      <c r="N4" s="35"/>
      <c r="O4" s="35"/>
    </row>
    <row r="5" spans="1:15" ht="20.25" x14ac:dyDescent="0.3">
      <c r="A5" s="4" t="s">
        <v>61</v>
      </c>
      <c r="B5" s="21">
        <f>25.2+0.3+0.0143+0.1+0.1+0.0143*3</f>
        <v>25.757200000000001</v>
      </c>
      <c r="C5" s="6">
        <v>10</v>
      </c>
      <c r="D5" s="4">
        <v>4.4999999999999998E-2</v>
      </c>
      <c r="E5" s="4">
        <v>3.6999999999999998E-2</v>
      </c>
      <c r="F5" s="7">
        <f t="shared" si="0"/>
        <v>4.0999999999999995E-2</v>
      </c>
      <c r="G5" s="4">
        <f t="shared" si="3"/>
        <v>0.1364099</v>
      </c>
      <c r="H5" s="4">
        <f t="shared" si="1"/>
        <v>2.1481874015748031E-3</v>
      </c>
      <c r="I5" s="4">
        <f t="shared" si="2"/>
        <v>5.5331292539842522E-2</v>
      </c>
      <c r="J5" s="4">
        <f t="shared" si="4"/>
        <v>5.2776891014729606E-2</v>
      </c>
      <c r="K5" s="4">
        <f t="shared" si="5"/>
        <v>0.91760020795758745</v>
      </c>
      <c r="L5" s="4">
        <v>1.0484</v>
      </c>
      <c r="M5" s="4">
        <v>6.0299999999999999E-2</v>
      </c>
      <c r="N5" s="36"/>
      <c r="O5" s="36"/>
    </row>
    <row r="6" spans="1:15" ht="23.25" x14ac:dyDescent="0.4">
      <c r="A6" s="5" t="s">
        <v>34</v>
      </c>
      <c r="B6" s="21">
        <f>25+0.6+0.01667*4</f>
        <v>25.666680000000003</v>
      </c>
      <c r="C6" s="6">
        <v>3</v>
      </c>
      <c r="D6" s="7">
        <v>0.11</v>
      </c>
      <c r="E6" s="7">
        <v>0.11</v>
      </c>
      <c r="F6" s="7">
        <f>AVERAGE(D6:E6)</f>
        <v>0.11</v>
      </c>
      <c r="G6" s="4">
        <f t="shared" si="3"/>
        <v>1.1110966666666668</v>
      </c>
      <c r="H6" s="4">
        <f>G6/63.5</f>
        <v>1.7497585301837273E-2</v>
      </c>
      <c r="I6" s="4">
        <f>H6*B6</f>
        <v>0.44910492271496077</v>
      </c>
      <c r="J6" s="4">
        <f t="shared" si="4"/>
        <v>0.46099868888827839</v>
      </c>
      <c r="K6" s="4">
        <f t="shared" si="5"/>
        <v>7.4975780085970074</v>
      </c>
      <c r="L6" s="5">
        <v>0.97419999999999995</v>
      </c>
      <c r="M6" s="5">
        <v>5.9900000000000002E-2</v>
      </c>
      <c r="N6" s="34">
        <f>AVERAGE(J6:J8)</f>
        <v>0.49740246824686257</v>
      </c>
      <c r="O6" s="34">
        <f>AVERAGE(K6:K8)</f>
        <v>8.3107095187140061</v>
      </c>
    </row>
    <row r="7" spans="1:15" ht="23.25" x14ac:dyDescent="0.4">
      <c r="A7" s="5" t="s">
        <v>35</v>
      </c>
      <c r="B7" s="21">
        <f>25+0.4+0.01667</f>
        <v>25.41667</v>
      </c>
      <c r="C7" s="6">
        <v>3</v>
      </c>
      <c r="D7" s="7">
        <v>0.13500000000000001</v>
      </c>
      <c r="E7" s="7">
        <v>0.13500000000000001</v>
      </c>
      <c r="F7" s="7">
        <f t="shared" ref="F7:F8" si="6">AVERAGE(D7:E7)</f>
        <v>0.13500000000000001</v>
      </c>
      <c r="G7" s="4">
        <f t="shared" si="3"/>
        <v>1.3489216666666668</v>
      </c>
      <c r="H7" s="4">
        <f t="shared" ref="H7:H8" si="7">G7/63.5</f>
        <v>2.1242860892388454E-2</v>
      </c>
      <c r="I7" s="4">
        <f t="shared" ref="I7:I8" si="8">H7*B7</f>
        <v>0.53992278515774283</v>
      </c>
      <c r="J7" s="4">
        <f t="shared" si="4"/>
        <v>0.50758934394823996</v>
      </c>
      <c r="K7" s="4">
        <f>I7/M7</f>
        <v>8.4100122298713842</v>
      </c>
      <c r="L7" s="5">
        <v>1.0637000000000001</v>
      </c>
      <c r="M7" s="5">
        <v>6.4199999999999993E-2</v>
      </c>
      <c r="N7" s="35"/>
      <c r="O7" s="35"/>
    </row>
    <row r="8" spans="1:15" ht="23.25" x14ac:dyDescent="0.4">
      <c r="A8" s="5" t="s">
        <v>36</v>
      </c>
      <c r="B8" s="21">
        <f>25+0.9+0.0143*3+0.1+0.1+0.01667*4</f>
        <v>26.209580000000003</v>
      </c>
      <c r="C8" s="6">
        <v>3</v>
      </c>
      <c r="D8" s="7">
        <v>0.13900000000000001</v>
      </c>
      <c r="E8" s="7">
        <v>0.13700000000000001</v>
      </c>
      <c r="F8" s="7">
        <f t="shared" si="6"/>
        <v>0.13800000000000001</v>
      </c>
      <c r="G8" s="4">
        <f t="shared" si="3"/>
        <v>1.3774606666666669</v>
      </c>
      <c r="H8" s="4">
        <f t="shared" si="7"/>
        <v>2.1692293963254596E-2</v>
      </c>
      <c r="I8" s="4">
        <f t="shared" si="8"/>
        <v>0.56854591401343846</v>
      </c>
      <c r="J8" s="4">
        <f t="shared" si="4"/>
        <v>0.52361937190406926</v>
      </c>
      <c r="K8" s="4">
        <f t="shared" si="5"/>
        <v>9.0245383176736258</v>
      </c>
      <c r="L8" s="5">
        <v>1.0858000000000001</v>
      </c>
      <c r="M8" s="5">
        <v>6.3E-2</v>
      </c>
      <c r="N8" s="36"/>
      <c r="O8" s="36"/>
    </row>
    <row r="12" spans="1:15" x14ac:dyDescent="0.25">
      <c r="A12" t="s">
        <v>39</v>
      </c>
      <c r="B12" t="s">
        <v>62</v>
      </c>
    </row>
    <row r="13" spans="1:15" x14ac:dyDescent="0.25">
      <c r="L13" t="s">
        <v>86</v>
      </c>
      <c r="M13">
        <f>0.1/7</f>
        <v>1.4285714285714287E-2</v>
      </c>
    </row>
    <row r="14" spans="1:15" x14ac:dyDescent="0.25">
      <c r="A14">
        <v>0.1</v>
      </c>
      <c r="B14" s="22">
        <f>A14*10</f>
        <v>1</v>
      </c>
      <c r="C14">
        <v>2.9000000000000001E-2</v>
      </c>
      <c r="L14" t="s">
        <v>87</v>
      </c>
      <c r="M14">
        <f>0.1/6</f>
        <v>1.6666666666666666E-2</v>
      </c>
    </row>
    <row r="15" spans="1:15" x14ac:dyDescent="0.25">
      <c r="A15">
        <v>0.3</v>
      </c>
      <c r="B15" s="22">
        <f t="shared" ref="B15:B18" si="9">A15*10</f>
        <v>3</v>
      </c>
      <c r="C15">
        <v>0.1</v>
      </c>
    </row>
    <row r="16" spans="1:15" x14ac:dyDescent="0.25">
      <c r="A16">
        <v>0.5</v>
      </c>
      <c r="B16" s="22">
        <f t="shared" si="9"/>
        <v>5</v>
      </c>
      <c r="C16">
        <v>0.17</v>
      </c>
    </row>
    <row r="17" spans="1:3" x14ac:dyDescent="0.25">
      <c r="A17">
        <v>0.7</v>
      </c>
      <c r="B17" s="22">
        <f t="shared" si="9"/>
        <v>7</v>
      </c>
      <c r="C17">
        <v>0.22900000000000001</v>
      </c>
    </row>
    <row r="18" spans="1:3" x14ac:dyDescent="0.25">
      <c r="A18">
        <v>0.9</v>
      </c>
      <c r="B18" s="22">
        <f t="shared" si="9"/>
        <v>9</v>
      </c>
      <c r="C18">
        <v>0.314</v>
      </c>
    </row>
  </sheetData>
  <mergeCells count="4">
    <mergeCell ref="N3:N5"/>
    <mergeCell ref="O3:O5"/>
    <mergeCell ref="N6:N8"/>
    <mergeCell ref="O6:O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O20"/>
  <sheetViews>
    <sheetView workbookViewId="0">
      <selection activeCell="J7" sqref="J7:K9"/>
    </sheetView>
  </sheetViews>
  <sheetFormatPr defaultRowHeight="15" x14ac:dyDescent="0.25"/>
  <cols>
    <col min="1" max="1" width="21.28515625" customWidth="1"/>
    <col min="2" max="2" width="12.42578125" customWidth="1"/>
    <col min="3" max="3" width="11.5703125" bestFit="1" customWidth="1"/>
    <col min="4" max="5" width="10" bestFit="1" customWidth="1"/>
    <col min="6" max="6" width="11.42578125" customWidth="1"/>
    <col min="7" max="9" width="12.28515625" bestFit="1" customWidth="1"/>
    <col min="10" max="10" width="19.7109375" customWidth="1"/>
    <col min="11" max="11" width="17.5703125" customWidth="1"/>
    <col min="12" max="12" width="18.28515625" customWidth="1"/>
    <col min="13" max="13" width="17.28515625" customWidth="1"/>
    <col min="14" max="14" width="30.5703125" customWidth="1"/>
    <col min="15" max="15" width="31.85546875" customWidth="1"/>
  </cols>
  <sheetData>
    <row r="3" spans="1:15" ht="81" x14ac:dyDescent="0.3">
      <c r="A3" s="4" t="s">
        <v>0</v>
      </c>
      <c r="B3" s="21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63</v>
      </c>
      <c r="K3" s="4" t="s">
        <v>64</v>
      </c>
      <c r="L3" s="4" t="s">
        <v>65</v>
      </c>
      <c r="M3" s="4" t="s">
        <v>66</v>
      </c>
      <c r="N3" s="4" t="s">
        <v>32</v>
      </c>
      <c r="O3" s="4" t="s">
        <v>33</v>
      </c>
    </row>
    <row r="4" spans="1:15" ht="20.25" x14ac:dyDescent="0.3">
      <c r="A4" s="4" t="s">
        <v>59</v>
      </c>
      <c r="B4" s="21">
        <f>25.2+0.4+0.01667*3</f>
        <v>25.650009999999998</v>
      </c>
      <c r="C4" s="6">
        <v>12</v>
      </c>
      <c r="D4" s="4">
        <v>0.125</v>
      </c>
      <c r="E4" s="4">
        <v>0.11899999999999999</v>
      </c>
      <c r="F4" s="7">
        <f t="shared" ref="F4:F6" si="0">AVERAGE(D4:E4)</f>
        <v>0.122</v>
      </c>
      <c r="G4" s="4">
        <f>(F4*16.971+0.2372)/C4</f>
        <v>0.19230516666666667</v>
      </c>
      <c r="H4" s="4">
        <f t="shared" ref="H4:H6" si="1">G4/63.5</f>
        <v>3.0284278215223096E-3</v>
      </c>
      <c r="I4" s="4">
        <f t="shared" ref="I4:I6" si="2">H4*B4</f>
        <v>7.7679203906325447E-2</v>
      </c>
      <c r="J4" s="4">
        <f>I4/L4</f>
        <v>5.0271294270208031E-2</v>
      </c>
      <c r="K4" s="4">
        <f>I4/M4</f>
        <v>0.51307268101932257</v>
      </c>
      <c r="L4">
        <v>1.5451999999999999</v>
      </c>
      <c r="M4">
        <v>0.15140000000000001</v>
      </c>
      <c r="N4" s="34">
        <f>AVERAGE(J4,J6)</f>
        <v>4.256511886747541E-2</v>
      </c>
      <c r="O4" s="34">
        <f>AVERAGE(K4,K6)</f>
        <v>0.43568340634980351</v>
      </c>
    </row>
    <row r="5" spans="1:15" ht="20.25" x14ac:dyDescent="0.3">
      <c r="A5" s="26" t="s">
        <v>88</v>
      </c>
      <c r="B5" s="27">
        <f>25+0.4+0.0143*6+0.05</f>
        <v>25.535799999999998</v>
      </c>
      <c r="C5" s="28">
        <v>12</v>
      </c>
      <c r="D5" s="26">
        <v>6.2E-2</v>
      </c>
      <c r="E5" s="26">
        <v>5.8000000000000003E-2</v>
      </c>
      <c r="F5" s="29">
        <f t="shared" si="0"/>
        <v>0.06</v>
      </c>
      <c r="G5" s="26">
        <f t="shared" ref="G5:G9" si="3">(F5*16.971+0.2372)/C5</f>
        <v>0.10462166666666667</v>
      </c>
      <c r="H5" s="26">
        <f t="shared" si="1"/>
        <v>1.6475853018372703E-3</v>
      </c>
      <c r="I5" s="26">
        <f t="shared" si="2"/>
        <v>4.2072408750656161E-2</v>
      </c>
      <c r="J5" s="26">
        <f t="shared" ref="J5:J9" si="4">I5/L5</f>
        <v>2.1731616090214959E-2</v>
      </c>
      <c r="K5" s="26">
        <f t="shared" ref="K5:K9" si="5">I5/M5</f>
        <v>0.21334892875586289</v>
      </c>
      <c r="L5" s="30">
        <v>1.9359999999999999</v>
      </c>
      <c r="M5" s="30">
        <v>0.19719999999999999</v>
      </c>
      <c r="N5" s="35"/>
      <c r="O5" s="35"/>
    </row>
    <row r="6" spans="1:15" ht="20.25" x14ac:dyDescent="0.3">
      <c r="A6" s="4" t="s">
        <v>61</v>
      </c>
      <c r="B6" s="21">
        <f>25+0.4+0.01667*3+0.1</f>
        <v>25.55001</v>
      </c>
      <c r="C6" s="6">
        <v>12</v>
      </c>
      <c r="D6" s="4">
        <v>9.4E-2</v>
      </c>
      <c r="E6" s="4">
        <v>9.1999999999999998E-2</v>
      </c>
      <c r="F6" s="7">
        <f t="shared" si="0"/>
        <v>9.2999999999999999E-2</v>
      </c>
      <c r="G6" s="4">
        <f t="shared" si="3"/>
        <v>0.15129191666666666</v>
      </c>
      <c r="H6" s="4">
        <f t="shared" si="1"/>
        <v>2.3825498687664042E-3</v>
      </c>
      <c r="I6" s="4">
        <f t="shared" si="2"/>
        <v>6.0874172972480316E-2</v>
      </c>
      <c r="J6" s="4">
        <f t="shared" si="4"/>
        <v>3.4858943464742782E-2</v>
      </c>
      <c r="K6" s="4">
        <f t="shared" si="5"/>
        <v>0.3582941316802844</v>
      </c>
      <c r="L6">
        <v>1.7463</v>
      </c>
      <c r="M6">
        <v>0.1699</v>
      </c>
      <c r="N6" s="36"/>
      <c r="O6" s="36"/>
    </row>
    <row r="7" spans="1:15" ht="23.25" x14ac:dyDescent="0.4">
      <c r="A7" s="5" t="s">
        <v>34</v>
      </c>
      <c r="B7" s="21">
        <f>25.1+0.0143*6+0.9+0.01667*2+0.3</f>
        <v>26.419139999999999</v>
      </c>
      <c r="C7" s="6">
        <v>12</v>
      </c>
      <c r="D7" s="7">
        <v>9.7000000000000003E-2</v>
      </c>
      <c r="E7" s="7">
        <v>9.1999999999999998E-2</v>
      </c>
      <c r="F7" s="7">
        <f>AVERAGE(D7:E7)</f>
        <v>9.4500000000000001E-2</v>
      </c>
      <c r="G7" s="4">
        <f t="shared" si="3"/>
        <v>0.15341329166666667</v>
      </c>
      <c r="H7" s="4">
        <f>G7/63.5</f>
        <v>2.4159573490813648E-3</v>
      </c>
      <c r="I7" s="4">
        <f>H7*B7</f>
        <v>6.3827515439409441E-2</v>
      </c>
      <c r="J7" s="4">
        <f t="shared" si="4"/>
        <v>3.5314548765856726E-2</v>
      </c>
      <c r="K7" s="4">
        <f t="shared" si="5"/>
        <v>0.34878423737382208</v>
      </c>
      <c r="L7">
        <v>1.8073999999999999</v>
      </c>
      <c r="M7">
        <v>0.183</v>
      </c>
      <c r="N7" s="34">
        <f>AVERAGE(J7:J9)</f>
        <v>3.3422307455402117E-2</v>
      </c>
      <c r="O7" s="34">
        <f>AVERAGE(K7:K9)</f>
        <v>0.33581074802513977</v>
      </c>
    </row>
    <row r="8" spans="1:15" ht="23.25" x14ac:dyDescent="0.4">
      <c r="A8" s="5" t="s">
        <v>35</v>
      </c>
      <c r="B8" s="21">
        <f>25+0.5+0.1+0.8</f>
        <v>26.400000000000002</v>
      </c>
      <c r="C8" s="6">
        <v>12</v>
      </c>
      <c r="D8" s="7">
        <v>9.2999999999999999E-2</v>
      </c>
      <c r="E8" s="7">
        <v>9.1999999999999998E-2</v>
      </c>
      <c r="F8" s="7">
        <f t="shared" ref="F8:F9" si="6">AVERAGE(D8:E8)</f>
        <v>9.2499999999999999E-2</v>
      </c>
      <c r="G8" s="4">
        <f t="shared" si="3"/>
        <v>0.15058479166666669</v>
      </c>
      <c r="H8" s="4">
        <f t="shared" ref="H8:H9" si="7">G8/63.5</f>
        <v>2.3714140419947511E-3</v>
      </c>
      <c r="I8" s="4">
        <f t="shared" ref="I8:I9" si="8">H8*B8</f>
        <v>6.2605330708661436E-2</v>
      </c>
      <c r="J8" s="4">
        <f t="shared" si="4"/>
        <v>3.2034657273019206E-2</v>
      </c>
      <c r="K8" s="4">
        <f>I8/M8</f>
        <v>0.3192520688865958</v>
      </c>
      <c r="L8">
        <v>1.9542999999999999</v>
      </c>
      <c r="M8">
        <v>0.1961</v>
      </c>
      <c r="N8" s="35"/>
      <c r="O8" s="35"/>
    </row>
    <row r="9" spans="1:15" ht="23.25" x14ac:dyDescent="0.4">
      <c r="A9" s="5" t="s">
        <v>36</v>
      </c>
      <c r="B9" s="21">
        <f>25+0.5+0.0143*3+0.1+0.01667</f>
        <v>25.659570000000002</v>
      </c>
      <c r="C9" s="6">
        <v>12</v>
      </c>
      <c r="D9" s="7">
        <v>0.104</v>
      </c>
      <c r="E9" s="7">
        <v>9.8000000000000004E-2</v>
      </c>
      <c r="F9" s="7">
        <f t="shared" si="6"/>
        <v>0.10100000000000001</v>
      </c>
      <c r="G9" s="4">
        <f t="shared" si="3"/>
        <v>0.16260591666666668</v>
      </c>
      <c r="H9" s="4">
        <f t="shared" si="7"/>
        <v>2.5607230971128611E-3</v>
      </c>
      <c r="I9" s="4">
        <f t="shared" si="8"/>
        <v>6.570705356098426E-2</v>
      </c>
      <c r="J9" s="4">
        <f t="shared" si="4"/>
        <v>3.2917716327330426E-2</v>
      </c>
      <c r="K9" s="4">
        <f t="shared" si="5"/>
        <v>0.33939593781500138</v>
      </c>
      <c r="L9">
        <v>1.9961</v>
      </c>
      <c r="M9">
        <v>0.19359999999999999</v>
      </c>
      <c r="N9" s="36"/>
      <c r="O9" s="36"/>
    </row>
    <row r="11" spans="1:15" x14ac:dyDescent="0.25">
      <c r="J11" t="s">
        <v>89</v>
      </c>
    </row>
    <row r="14" spans="1:15" x14ac:dyDescent="0.25">
      <c r="A14" t="s">
        <v>47</v>
      </c>
      <c r="B14" t="s">
        <v>48</v>
      </c>
    </row>
    <row r="16" spans="1:15" x14ac:dyDescent="0.25">
      <c r="A16">
        <v>0.1</v>
      </c>
      <c r="B16">
        <f>A16*10</f>
        <v>1</v>
      </c>
      <c r="C16">
        <v>4.5999999999999999E-2</v>
      </c>
    </row>
    <row r="17" spans="1:3" x14ac:dyDescent="0.25">
      <c r="A17">
        <v>0.2</v>
      </c>
      <c r="B17">
        <f t="shared" ref="B17:B20" si="9">A17*10</f>
        <v>2</v>
      </c>
      <c r="C17">
        <v>0.10100000000000001</v>
      </c>
    </row>
    <row r="18" spans="1:3" x14ac:dyDescent="0.25">
      <c r="A18">
        <v>0.3</v>
      </c>
      <c r="B18">
        <f t="shared" si="9"/>
        <v>3</v>
      </c>
      <c r="C18">
        <v>0.16500000000000001</v>
      </c>
    </row>
    <row r="19" spans="1:3" x14ac:dyDescent="0.25">
      <c r="A19">
        <v>0.4</v>
      </c>
      <c r="B19">
        <f t="shared" si="9"/>
        <v>4</v>
      </c>
      <c r="C19">
        <v>0.222</v>
      </c>
    </row>
    <row r="20" spans="1:3" x14ac:dyDescent="0.25">
      <c r="A20">
        <v>0.5</v>
      </c>
      <c r="B20">
        <f t="shared" si="9"/>
        <v>5</v>
      </c>
      <c r="C20">
        <v>0.28000000000000003</v>
      </c>
    </row>
  </sheetData>
  <mergeCells count="4">
    <mergeCell ref="N4:N6"/>
    <mergeCell ref="O4:O6"/>
    <mergeCell ref="N7:N9"/>
    <mergeCell ref="O7:O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Масса растений</vt:lpstr>
      <vt:lpstr>pH растворов</vt:lpstr>
      <vt:lpstr>Обработка интактных растений</vt:lpstr>
      <vt:lpstr>Сорбция клеточной стенкой</vt:lpstr>
      <vt:lpstr>Десорбция</vt:lpstr>
      <vt:lpstr>Озоление корней</vt:lpstr>
      <vt:lpstr>Озоление побегов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Никушин</cp:lastModifiedBy>
  <dcterms:created xsi:type="dcterms:W3CDTF">2015-06-05T18:19:34Z</dcterms:created>
  <dcterms:modified xsi:type="dcterms:W3CDTF">2021-11-25T04:01:54Z</dcterms:modified>
</cp:coreProperties>
</file>