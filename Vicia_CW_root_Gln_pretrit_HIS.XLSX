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nikus\iCloudDrive\Универ\Аспирантура\Диссертация\Опыты ВИКА 9 растений\"/>
    </mc:Choice>
  </mc:AlternateContent>
  <xr:revisionPtr revIDLastSave="0" documentId="13_ncr:1_{C6370928-15B4-46C4-B879-47437B1F6E9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Масса растений" sheetId="1" r:id="rId1"/>
    <sheet name="pH растворов" sheetId="2" r:id="rId2"/>
    <sheet name="Обработка интактных растений" sheetId="3" r:id="rId3"/>
    <sheet name="Сорбция клеточной стенкой" sheetId="4" r:id="rId4"/>
    <sheet name="Десорбция" sheetId="5" r:id="rId5"/>
    <sheet name="Озоление корней" sheetId="6" r:id="rId6"/>
    <sheet name="Озоление побегов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2" i="7" l="1"/>
  <c r="B23" i="7"/>
  <c r="B24" i="7"/>
  <c r="B25" i="7"/>
  <c r="B27" i="7"/>
  <c r="B28" i="7"/>
  <c r="B29" i="7"/>
  <c r="B30" i="7"/>
  <c r="B31" i="7"/>
  <c r="B21" i="7"/>
  <c r="B14" i="7"/>
  <c r="B13" i="7"/>
  <c r="B12" i="7"/>
  <c r="B11" i="7"/>
  <c r="B10" i="7"/>
  <c r="B9" i="7"/>
  <c r="B8" i="7"/>
  <c r="B7" i="7"/>
  <c r="B6" i="7"/>
  <c r="B5" i="7"/>
  <c r="B4" i="7"/>
  <c r="F14" i="7"/>
  <c r="G14" i="7" s="1"/>
  <c r="F13" i="7"/>
  <c r="G13" i="7" s="1"/>
  <c r="F12" i="7"/>
  <c r="G12" i="7" s="1"/>
  <c r="F11" i="7"/>
  <c r="G11" i="7" s="1"/>
  <c r="F10" i="7"/>
  <c r="F9" i="7"/>
  <c r="F8" i="7"/>
  <c r="G8" i="7" s="1"/>
  <c r="F7" i="7"/>
  <c r="G7" i="7" s="1"/>
  <c r="F6" i="7"/>
  <c r="G6" i="7" s="1"/>
  <c r="F5" i="7"/>
  <c r="G5" i="7" s="1"/>
  <c r="F4" i="7"/>
  <c r="G4" i="7" s="1"/>
  <c r="B14" i="6"/>
  <c r="B13" i="6"/>
  <c r="B12" i="6"/>
  <c r="B11" i="6"/>
  <c r="B10" i="6"/>
  <c r="B9" i="6"/>
  <c r="B8" i="6"/>
  <c r="B7" i="6"/>
  <c r="B6" i="6"/>
  <c r="B5" i="6"/>
  <c r="B4" i="6"/>
  <c r="B3" i="6"/>
  <c r="G10" i="7" l="1"/>
  <c r="H10" i="7" s="1"/>
  <c r="I10" i="7" s="1"/>
  <c r="G9" i="7"/>
  <c r="H9" i="7" s="1"/>
  <c r="I9" i="7" s="1"/>
  <c r="H8" i="7"/>
  <c r="I8" i="7" s="1"/>
  <c r="J8" i="7" s="1"/>
  <c r="H14" i="7"/>
  <c r="I14" i="7" s="1"/>
  <c r="K14" i="7" s="1"/>
  <c r="H7" i="7"/>
  <c r="I7" i="7" s="1"/>
  <c r="J7" i="7" s="1"/>
  <c r="H4" i="7"/>
  <c r="I4" i="7" s="1"/>
  <c r="J4" i="7" s="1"/>
  <c r="H13" i="7"/>
  <c r="I13" i="7" s="1"/>
  <c r="K13" i="7" s="1"/>
  <c r="H11" i="7"/>
  <c r="I11" i="7" s="1"/>
  <c r="K11" i="7" s="1"/>
  <c r="H12" i="7"/>
  <c r="I12" i="7" s="1"/>
  <c r="J12" i="7" s="1"/>
  <c r="H6" i="7"/>
  <c r="I6" i="7" s="1"/>
  <c r="K6" i="7" s="1"/>
  <c r="H5" i="7"/>
  <c r="I5" i="7" s="1"/>
  <c r="K5" i="7" s="1"/>
  <c r="K8" i="7"/>
  <c r="B21" i="6"/>
  <c r="B22" i="6"/>
  <c r="B23" i="6"/>
  <c r="B24" i="6"/>
  <c r="B20" i="6"/>
  <c r="F14" i="6"/>
  <c r="F13" i="6"/>
  <c r="F12" i="6"/>
  <c r="F11" i="6"/>
  <c r="F10" i="6"/>
  <c r="F9" i="6"/>
  <c r="F8" i="6"/>
  <c r="F7" i="6"/>
  <c r="F6" i="6"/>
  <c r="F5" i="6"/>
  <c r="F4" i="6"/>
  <c r="F3" i="6"/>
  <c r="J14" i="7" l="1"/>
  <c r="J10" i="7"/>
  <c r="K10" i="7"/>
  <c r="K9" i="7"/>
  <c r="J9" i="7"/>
  <c r="N7" i="7"/>
  <c r="K7" i="7"/>
  <c r="O7" i="7" s="1"/>
  <c r="K4" i="7"/>
  <c r="O4" i="7" s="1"/>
  <c r="J13" i="7"/>
  <c r="N13" i="7" s="1"/>
  <c r="J6" i="7"/>
  <c r="J5" i="7"/>
  <c r="N4" i="7" s="1"/>
  <c r="K12" i="7"/>
  <c r="J11" i="7"/>
  <c r="O13" i="7"/>
  <c r="G14" i="6"/>
  <c r="H14" i="6" s="1"/>
  <c r="I14" i="6" s="1"/>
  <c r="G13" i="6"/>
  <c r="H13" i="6" s="1"/>
  <c r="I13" i="6" s="1"/>
  <c r="G12" i="6"/>
  <c r="H12" i="6" s="1"/>
  <c r="I12" i="6" s="1"/>
  <c r="G11" i="6"/>
  <c r="H11" i="6" s="1"/>
  <c r="I11" i="6" s="1"/>
  <c r="G10" i="6"/>
  <c r="H10" i="6" s="1"/>
  <c r="I10" i="6" s="1"/>
  <c r="G9" i="6"/>
  <c r="H9" i="6" s="1"/>
  <c r="I9" i="6" s="1"/>
  <c r="G8" i="6"/>
  <c r="H8" i="6" s="1"/>
  <c r="I8" i="6" s="1"/>
  <c r="G7" i="6"/>
  <c r="H7" i="6" s="1"/>
  <c r="I7" i="6" s="1"/>
  <c r="G6" i="6"/>
  <c r="H6" i="6" s="1"/>
  <c r="I6" i="6" s="1"/>
  <c r="G5" i="6"/>
  <c r="H5" i="6" s="1"/>
  <c r="I5" i="6" s="1"/>
  <c r="G4" i="6"/>
  <c r="H4" i="6" s="1"/>
  <c r="I4" i="6" s="1"/>
  <c r="G3" i="6"/>
  <c r="H3" i="6" s="1"/>
  <c r="I3" i="6" s="1"/>
  <c r="O10" i="7" l="1"/>
  <c r="N10" i="7"/>
  <c r="J14" i="6"/>
  <c r="K14" i="6"/>
  <c r="K13" i="6"/>
  <c r="J13" i="6"/>
  <c r="J12" i="6"/>
  <c r="N12" i="6" s="1"/>
  <c r="K12" i="6"/>
  <c r="O12" i="6" s="1"/>
  <c r="K11" i="6"/>
  <c r="J11" i="6"/>
  <c r="J10" i="6"/>
  <c r="K10" i="6"/>
  <c r="K9" i="6"/>
  <c r="O9" i="6" s="1"/>
  <c r="J9" i="6"/>
  <c r="N9" i="6" s="1"/>
  <c r="J8" i="6"/>
  <c r="K8" i="6"/>
  <c r="J7" i="6"/>
  <c r="K7" i="6"/>
  <c r="J6" i="6"/>
  <c r="N6" i="6" s="1"/>
  <c r="K6" i="6"/>
  <c r="O6" i="6" s="1"/>
  <c r="J5" i="6"/>
  <c r="K5" i="6"/>
  <c r="J4" i="6"/>
  <c r="K4" i="6"/>
  <c r="K3" i="6"/>
  <c r="O3" i="6" s="1"/>
  <c r="J3" i="6"/>
  <c r="N3" i="6" s="1"/>
  <c r="G6" i="1"/>
  <c r="G7" i="1"/>
  <c r="G8" i="1"/>
  <c r="G9" i="1"/>
  <c r="G10" i="1"/>
  <c r="G11" i="1"/>
  <c r="G12" i="1"/>
  <c r="G13" i="1"/>
  <c r="G14" i="1"/>
  <c r="G15" i="1"/>
  <c r="G16" i="1"/>
  <c r="G5" i="1"/>
  <c r="T4" i="4" l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19" i="1"/>
  <c r="F6" i="1" l="1"/>
  <c r="F7" i="1"/>
  <c r="F8" i="1"/>
  <c r="F9" i="1"/>
  <c r="F10" i="1"/>
  <c r="F11" i="1"/>
  <c r="F12" i="1"/>
  <c r="F13" i="1"/>
  <c r="F14" i="1"/>
  <c r="F15" i="1"/>
  <c r="F16" i="1"/>
  <c r="F5" i="1"/>
  <c r="B28" i="5" l="1"/>
  <c r="B27" i="5"/>
  <c r="B26" i="5"/>
  <c r="B25" i="5"/>
  <c r="B24" i="5"/>
  <c r="F17" i="5"/>
  <c r="G17" i="5" s="1"/>
  <c r="F16" i="5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F8" i="5"/>
  <c r="G8" i="5" s="1"/>
  <c r="F7" i="5"/>
  <c r="G7" i="5" s="1"/>
  <c r="F6" i="5"/>
  <c r="G6" i="5" s="1"/>
  <c r="F5" i="5"/>
  <c r="G5" i="5" s="1"/>
  <c r="F4" i="5"/>
  <c r="F3" i="5"/>
  <c r="G3" i="5" s="1"/>
  <c r="G9" i="5" l="1"/>
  <c r="H9" i="5" s="1"/>
  <c r="I9" i="5" s="1"/>
  <c r="H8" i="5"/>
  <c r="I8" i="5" s="1"/>
  <c r="L8" i="5" s="1"/>
  <c r="H6" i="5"/>
  <c r="I6" i="5" s="1"/>
  <c r="K6" i="5" s="1"/>
  <c r="G16" i="5"/>
  <c r="H16" i="5" s="1"/>
  <c r="I16" i="5" s="1"/>
  <c r="G4" i="5"/>
  <c r="H4" i="5" s="1"/>
  <c r="I4" i="5" s="1"/>
  <c r="L6" i="5"/>
  <c r="H10" i="5"/>
  <c r="I10" i="5" s="1"/>
  <c r="L10" i="5" s="1"/>
  <c r="H11" i="5"/>
  <c r="I11" i="5" s="1"/>
  <c r="L11" i="5" s="1"/>
  <c r="H5" i="5"/>
  <c r="I5" i="5" s="1"/>
  <c r="H17" i="5"/>
  <c r="I17" i="5" s="1"/>
  <c r="K17" i="5" s="1"/>
  <c r="K5" i="5"/>
  <c r="H12" i="5"/>
  <c r="I12" i="5" s="1"/>
  <c r="H13" i="5"/>
  <c r="I13" i="5" s="1"/>
  <c r="H14" i="5"/>
  <c r="I14" i="5" s="1"/>
  <c r="H15" i="5"/>
  <c r="I15" i="5" s="1"/>
  <c r="J6" i="5"/>
  <c r="H7" i="5"/>
  <c r="I7" i="5" s="1"/>
  <c r="H3" i="5"/>
  <c r="I3" i="5" s="1"/>
  <c r="B31" i="4"/>
  <c r="B32" i="4"/>
  <c r="B33" i="4"/>
  <c r="B34" i="4"/>
  <c r="B30" i="4"/>
  <c r="F26" i="4"/>
  <c r="G26" i="4" s="1"/>
  <c r="F16" i="4"/>
  <c r="G16" i="4" s="1"/>
  <c r="F17" i="4"/>
  <c r="G17" i="4" s="1"/>
  <c r="F18" i="4"/>
  <c r="G18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F9" i="4"/>
  <c r="F8" i="4"/>
  <c r="F7" i="4"/>
  <c r="G7" i="4" s="1"/>
  <c r="F6" i="4"/>
  <c r="F5" i="4"/>
  <c r="G5" i="4" s="1"/>
  <c r="F4" i="4"/>
  <c r="K11" i="5" l="1"/>
  <c r="J11" i="5"/>
  <c r="K10" i="5"/>
  <c r="K9" i="5"/>
  <c r="Q9" i="5" s="1"/>
  <c r="J9" i="5"/>
  <c r="L9" i="5"/>
  <c r="R9" i="5" s="1"/>
  <c r="J8" i="5"/>
  <c r="K8" i="5"/>
  <c r="J16" i="5"/>
  <c r="K16" i="5"/>
  <c r="L16" i="5"/>
  <c r="J4" i="5"/>
  <c r="K4" i="5"/>
  <c r="L4" i="5"/>
  <c r="J17" i="5"/>
  <c r="L17" i="5"/>
  <c r="J5" i="5"/>
  <c r="L5" i="5"/>
  <c r="J10" i="5"/>
  <c r="L14" i="5"/>
  <c r="K14" i="5"/>
  <c r="J14" i="5"/>
  <c r="J15" i="5"/>
  <c r="L15" i="5"/>
  <c r="R15" i="5" s="1"/>
  <c r="K15" i="5"/>
  <c r="L7" i="5"/>
  <c r="R6" i="5" s="1"/>
  <c r="K7" i="5"/>
  <c r="J7" i="5"/>
  <c r="P6" i="5" s="1"/>
  <c r="J13" i="5"/>
  <c r="L13" i="5"/>
  <c r="K13" i="5"/>
  <c r="L12" i="5"/>
  <c r="R12" i="5" s="1"/>
  <c r="J12" i="5"/>
  <c r="K12" i="5"/>
  <c r="Q12" i="5" s="1"/>
  <c r="K3" i="5"/>
  <c r="Q3" i="5" s="1"/>
  <c r="J3" i="5"/>
  <c r="L3" i="5"/>
  <c r="P9" i="5"/>
  <c r="H17" i="4"/>
  <c r="I17" i="4" s="1"/>
  <c r="K17" i="4" s="1"/>
  <c r="M17" i="4" s="1"/>
  <c r="G10" i="4"/>
  <c r="H10" i="4" s="1"/>
  <c r="I10" i="4" s="1"/>
  <c r="K10" i="4" s="1"/>
  <c r="G9" i="4"/>
  <c r="H9" i="4" s="1"/>
  <c r="I9" i="4" s="1"/>
  <c r="K9" i="4" s="1"/>
  <c r="G8" i="4"/>
  <c r="H8" i="4" s="1"/>
  <c r="I8" i="4" s="1"/>
  <c r="K8" i="4" s="1"/>
  <c r="H7" i="4"/>
  <c r="I7" i="4" s="1"/>
  <c r="K7" i="4" s="1"/>
  <c r="N7" i="4" s="1"/>
  <c r="G6" i="4"/>
  <c r="H6" i="4" s="1"/>
  <c r="I6" i="4" s="1"/>
  <c r="K6" i="4" s="1"/>
  <c r="H5" i="4"/>
  <c r="I5" i="4" s="1"/>
  <c r="K5" i="4" s="1"/>
  <c r="N5" i="4" s="1"/>
  <c r="G4" i="4"/>
  <c r="H4" i="4" s="1"/>
  <c r="I4" i="4" s="1"/>
  <c r="K4" i="4" s="1"/>
  <c r="N4" i="4" s="1"/>
  <c r="H16" i="4"/>
  <c r="I16" i="4" s="1"/>
  <c r="K16" i="4" s="1"/>
  <c r="M16" i="4" s="1"/>
  <c r="S16" i="4" s="1"/>
  <c r="H11" i="4"/>
  <c r="I11" i="4" s="1"/>
  <c r="K11" i="4" s="1"/>
  <c r="M11" i="4" s="1"/>
  <c r="H12" i="4"/>
  <c r="I12" i="4" s="1"/>
  <c r="K12" i="4" s="1"/>
  <c r="L12" i="4" s="1"/>
  <c r="H13" i="4"/>
  <c r="I13" i="4" s="1"/>
  <c r="K13" i="4" s="1"/>
  <c r="M13" i="4" s="1"/>
  <c r="H14" i="4"/>
  <c r="I14" i="4" s="1"/>
  <c r="K14" i="4" s="1"/>
  <c r="N14" i="4" s="1"/>
  <c r="H15" i="4"/>
  <c r="I15" i="4" s="1"/>
  <c r="K15" i="4" s="1"/>
  <c r="L15" i="4" s="1"/>
  <c r="H18" i="4"/>
  <c r="I18" i="4" s="1"/>
  <c r="K18" i="4" s="1"/>
  <c r="M18" i="4" s="1"/>
  <c r="H26" i="4"/>
  <c r="I26" i="4" s="1"/>
  <c r="N17" i="4"/>
  <c r="L17" i="4"/>
  <c r="M5" i="4"/>
  <c r="L5" i="4"/>
  <c r="M7" i="4"/>
  <c r="R3" i="5" l="1"/>
  <c r="Q6" i="5"/>
  <c r="Q15" i="5"/>
  <c r="P15" i="5"/>
  <c r="P12" i="5"/>
  <c r="P3" i="5"/>
  <c r="N15" i="4"/>
  <c r="M15" i="4"/>
  <c r="L14" i="4"/>
  <c r="N12" i="4"/>
  <c r="M12" i="4"/>
  <c r="N11" i="4"/>
  <c r="L11" i="4"/>
  <c r="L10" i="4"/>
  <c r="N10" i="4"/>
  <c r="M10" i="4"/>
  <c r="N9" i="4"/>
  <c r="M9" i="4"/>
  <c r="L9" i="4"/>
  <c r="M8" i="4"/>
  <c r="L8" i="4"/>
  <c r="N8" i="4"/>
  <c r="T7" i="4" s="1"/>
  <c r="L7" i="4"/>
  <c r="M6" i="4"/>
  <c r="N6" i="4"/>
  <c r="L6" i="4"/>
  <c r="R4" i="4" s="1"/>
  <c r="L4" i="4"/>
  <c r="M4" i="4"/>
  <c r="M14" i="4"/>
  <c r="S13" i="4" s="1"/>
  <c r="N13" i="4"/>
  <c r="T13" i="4" s="1"/>
  <c r="L13" i="4"/>
  <c r="L18" i="4"/>
  <c r="N18" i="4"/>
  <c r="L16" i="4"/>
  <c r="R16" i="4" s="1"/>
  <c r="N16" i="4"/>
  <c r="T16" i="4" s="1"/>
  <c r="S7" i="4"/>
  <c r="R7" i="4"/>
  <c r="R10" i="4"/>
  <c r="T10" i="4" l="1"/>
  <c r="S4" i="4"/>
  <c r="S10" i="4"/>
  <c r="R13" i="4"/>
  <c r="B22" i="3" l="1"/>
  <c r="B23" i="3"/>
  <c r="B24" i="3"/>
  <c r="B25" i="3"/>
  <c r="B21" i="3"/>
  <c r="F17" i="3"/>
  <c r="F16" i="3"/>
  <c r="G16" i="3" s="1"/>
  <c r="F15" i="3"/>
  <c r="G15" i="3" s="1"/>
  <c r="F12" i="3"/>
  <c r="G12" i="3" s="1"/>
  <c r="F11" i="3"/>
  <c r="F10" i="3"/>
  <c r="G10" i="3" s="1"/>
  <c r="F9" i="3"/>
  <c r="F8" i="3"/>
  <c r="G8" i="3" s="1"/>
  <c r="F7" i="3"/>
  <c r="G7" i="3" s="1"/>
  <c r="F6" i="3"/>
  <c r="G6" i="3" s="1"/>
  <c r="F5" i="3"/>
  <c r="G5" i="3" s="1"/>
  <c r="H5" i="3" s="1"/>
  <c r="I5" i="3" s="1"/>
  <c r="K5" i="3" s="1"/>
  <c r="F4" i="3"/>
  <c r="G4" i="3" s="1"/>
  <c r="G11" i="3" l="1"/>
  <c r="H11" i="3" s="1"/>
  <c r="I11" i="3" s="1"/>
  <c r="K11" i="3" s="1"/>
  <c r="G9" i="3"/>
  <c r="H9" i="3" s="1"/>
  <c r="I9" i="3" s="1"/>
  <c r="K9" i="3" s="1"/>
  <c r="H12" i="3"/>
  <c r="I12" i="3" s="1"/>
  <c r="K12" i="3" s="1"/>
  <c r="M12" i="3" s="1"/>
  <c r="H8" i="3"/>
  <c r="I8" i="3" s="1"/>
  <c r="K8" i="3" s="1"/>
  <c r="L8" i="3" s="1"/>
  <c r="H7" i="3"/>
  <c r="I7" i="3" s="1"/>
  <c r="K7" i="3" s="1"/>
  <c r="L7" i="3" s="1"/>
  <c r="G17" i="3"/>
  <c r="H17" i="3" s="1"/>
  <c r="I17" i="3" s="1"/>
  <c r="H16" i="3"/>
  <c r="I16" i="3" s="1"/>
  <c r="H15" i="3"/>
  <c r="I15" i="3" s="1"/>
  <c r="H6" i="3"/>
  <c r="I6" i="3" s="1"/>
  <c r="K6" i="3" s="1"/>
  <c r="M6" i="3" s="1"/>
  <c r="H10" i="3"/>
  <c r="I10" i="3" s="1"/>
  <c r="K10" i="3" s="1"/>
  <c r="L10" i="3" s="1"/>
  <c r="H4" i="3"/>
  <c r="I4" i="3" s="1"/>
  <c r="K4" i="3" s="1"/>
  <c r="M4" i="3" s="1"/>
  <c r="L5" i="3"/>
  <c r="M5" i="3"/>
  <c r="Q4" i="3" l="1"/>
  <c r="L12" i="3"/>
  <c r="M11" i="3"/>
  <c r="L11" i="3"/>
  <c r="M9" i="3"/>
  <c r="L9" i="3"/>
  <c r="M8" i="3"/>
  <c r="M7" i="3"/>
  <c r="Q7" i="3" s="1"/>
  <c r="M10" i="3"/>
  <c r="L6" i="3"/>
  <c r="L4" i="3"/>
  <c r="P7" i="3"/>
  <c r="P10" i="3"/>
  <c r="Q10" i="3"/>
  <c r="P4" i="3" l="1"/>
</calcChain>
</file>

<file path=xl/sharedStrings.xml><?xml version="1.0" encoding="utf-8"?>
<sst xmlns="http://schemas.openxmlformats.org/spreadsheetml/2006/main" count="276" uniqueCount="110">
  <si>
    <t>№</t>
  </si>
  <si>
    <t>FW корня</t>
  </si>
  <si>
    <t>FW побега</t>
  </si>
  <si>
    <t>DW корня</t>
  </si>
  <si>
    <t>DW побега</t>
  </si>
  <si>
    <t>DW кл.ст.</t>
  </si>
  <si>
    <t>На озоление</t>
  </si>
  <si>
    <t>контроль 1</t>
  </si>
  <si>
    <t>контроль 2</t>
  </si>
  <si>
    <t>контроль 3</t>
  </si>
  <si>
    <r>
      <t>CuCl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 1</t>
    </r>
  </si>
  <si>
    <r>
      <t>CuCl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charset val="204"/>
        <scheme val="minor"/>
      </rPr>
      <t/>
    </r>
  </si>
  <si>
    <r>
      <t>CuCl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 3</t>
    </r>
    <r>
      <rPr>
        <sz val="11"/>
        <color theme="1"/>
        <rFont val="Calibri"/>
        <family val="2"/>
        <charset val="204"/>
        <scheme val="minor"/>
      </rPr>
      <t/>
    </r>
  </si>
  <si>
    <t>Глутамин 1. 1</t>
  </si>
  <si>
    <t>Глутамин 1. 2</t>
  </si>
  <si>
    <t>Глутамин 1. 3</t>
  </si>
  <si>
    <t>Глутамин 5.1</t>
  </si>
  <si>
    <t>Глутамин 5.2</t>
  </si>
  <si>
    <t>Глутамин 5.3</t>
  </si>
  <si>
    <t>На выделение клеточной стенки</t>
  </si>
  <si>
    <t>Гистидин 0,5. 1</t>
  </si>
  <si>
    <t>Гистидин 0,5. 2</t>
  </si>
  <si>
    <t>Гистидин 0,5. 3</t>
  </si>
  <si>
    <t>Гистидин 1.1</t>
  </si>
  <si>
    <t>Гистидин 1.2</t>
  </si>
  <si>
    <t>Гистидин 1.3</t>
  </si>
  <si>
    <t>1. Масса 9 растений</t>
  </si>
  <si>
    <t>pH</t>
  </si>
  <si>
    <t>CuCl2 (1)</t>
  </si>
  <si>
    <t>CuCl2 (2)</t>
  </si>
  <si>
    <t>Исходные</t>
  </si>
  <si>
    <t>Глутамин 1</t>
  </si>
  <si>
    <t>Глутамин 5</t>
  </si>
  <si>
    <t>Гистидин 0,5</t>
  </si>
  <si>
    <t>Гистидин 1</t>
  </si>
  <si>
    <t>После обработки 9 растений</t>
  </si>
  <si>
    <t>После сорбции клеточной стенкой</t>
  </si>
  <si>
    <t>Растворы без меди и доводились до  pH 5</t>
  </si>
  <si>
    <t>V общ</t>
  </si>
  <si>
    <t>Vал.</t>
  </si>
  <si>
    <t>D600 1</t>
  </si>
  <si>
    <t>D600 2</t>
  </si>
  <si>
    <t>D600 Ср</t>
  </si>
  <si>
    <t>мкг/мл</t>
  </si>
  <si>
    <t>мкмоль/мл</t>
  </si>
  <si>
    <t>мкмоль общ</t>
  </si>
  <si>
    <t>мкмоль общ. Ис. Р-ры</t>
  </si>
  <si>
    <t>Разница исх. - посл. Сорбц</t>
  </si>
  <si>
    <t>Поглощение на г сырой массы</t>
  </si>
  <si>
    <t>Поглощение на г сухой массы</t>
  </si>
  <si>
    <t>Сырая масса корней</t>
  </si>
  <si>
    <t>Сухая масса корней</t>
  </si>
  <si>
    <t>Среднее поглощение на грамм сырой массы корня</t>
  </si>
  <si>
    <t>Среднее поглощение на грамм сухой массы корня</t>
  </si>
  <si>
    <r>
      <t>CuCl</t>
    </r>
    <r>
      <rPr>
        <vertAlign val="subscript"/>
        <sz val="16"/>
        <color theme="1"/>
        <rFont val="Times New Roman"/>
        <family val="1"/>
        <charset val="204"/>
      </rPr>
      <t>2</t>
    </r>
    <r>
      <rPr>
        <sz val="16"/>
        <color theme="1"/>
        <rFont val="Times New Roman"/>
        <family val="1"/>
        <charset val="204"/>
      </rPr>
      <t xml:space="preserve"> 10 1</t>
    </r>
  </si>
  <si>
    <r>
      <t>CuCl</t>
    </r>
    <r>
      <rPr>
        <vertAlign val="subscript"/>
        <sz val="16"/>
        <color theme="1"/>
        <rFont val="Times New Roman"/>
        <family val="1"/>
        <charset val="204"/>
      </rPr>
      <t>2</t>
    </r>
    <r>
      <rPr>
        <sz val="16"/>
        <color theme="1"/>
        <rFont val="Times New Roman"/>
        <family val="1"/>
        <charset val="204"/>
      </rPr>
      <t xml:space="preserve"> 10 2</t>
    </r>
    <r>
      <rPr>
        <sz val="11"/>
        <color theme="1"/>
        <rFont val="Calibri"/>
        <family val="2"/>
        <charset val="204"/>
        <scheme val="minor"/>
      </rPr>
      <t/>
    </r>
  </si>
  <si>
    <r>
      <t>CuCl</t>
    </r>
    <r>
      <rPr>
        <vertAlign val="subscript"/>
        <sz val="16"/>
        <color theme="1"/>
        <rFont val="Times New Roman"/>
        <family val="1"/>
        <charset val="204"/>
      </rPr>
      <t>2</t>
    </r>
    <r>
      <rPr>
        <sz val="16"/>
        <color theme="1"/>
        <rFont val="Times New Roman"/>
        <family val="1"/>
        <charset val="204"/>
      </rPr>
      <t xml:space="preserve"> 10 3</t>
    </r>
    <r>
      <rPr>
        <sz val="11"/>
        <color theme="1"/>
        <rFont val="Calibri"/>
        <family val="2"/>
        <charset val="204"/>
        <scheme val="minor"/>
      </rPr>
      <t/>
    </r>
  </si>
  <si>
    <t>Глу 1 1</t>
  </si>
  <si>
    <t>Глу 1 2</t>
  </si>
  <si>
    <t>Глу 1 3</t>
  </si>
  <si>
    <t>Глу 5 1</t>
  </si>
  <si>
    <t>Глу 5 2</t>
  </si>
  <si>
    <t>Глу 5 3</t>
  </si>
  <si>
    <t>Исходные растворы</t>
  </si>
  <si>
    <t>CuCl 10 1</t>
  </si>
  <si>
    <t>Глу 1mM</t>
  </si>
  <si>
    <t>Глу 5 mM</t>
  </si>
  <si>
    <t>Калибровка</t>
  </si>
  <si>
    <t>мкг/проба</t>
  </si>
  <si>
    <t>D 600</t>
  </si>
  <si>
    <t>Сорбция на г сырой массы</t>
  </si>
  <si>
    <t>Сорбция на г сухой массы</t>
  </si>
  <si>
    <t>Сорбция на г DW кл ст</t>
  </si>
  <si>
    <t>DW кл ст</t>
  </si>
  <si>
    <t>Средняя сорбция на грамм сухой массы корня</t>
  </si>
  <si>
    <t>Пред. Обраб. His 0,5 2</t>
  </si>
  <si>
    <t>Пред. Обраб. His 0,5 3</t>
  </si>
  <si>
    <t>Пред. Обраб. His 1 1</t>
  </si>
  <si>
    <t>Пред. Обраб. His 1 2</t>
  </si>
  <si>
    <t>Пред. Обраб. His 1 3</t>
  </si>
  <si>
    <t>Пред. Обраб. His 0,5 1</t>
  </si>
  <si>
    <t>Исх. Для варианта с предлбработкой</t>
  </si>
  <si>
    <r>
      <t>CuCl</t>
    </r>
    <r>
      <rPr>
        <vertAlign val="subscript"/>
        <sz val="16"/>
        <color theme="1"/>
        <rFont val="Times New Roman"/>
        <family val="1"/>
        <charset val="204"/>
      </rPr>
      <t>2</t>
    </r>
    <r>
      <rPr>
        <sz val="16"/>
        <color theme="1"/>
        <rFont val="Times New Roman"/>
        <family val="1"/>
        <charset val="204"/>
      </rPr>
      <t xml:space="preserve"> </t>
    </r>
  </si>
  <si>
    <t xml:space="preserve">Калибровка </t>
  </si>
  <si>
    <t>L=50</t>
  </si>
  <si>
    <t>10мкг/мл</t>
  </si>
  <si>
    <t>V ал</t>
  </si>
  <si>
    <t>D600</t>
  </si>
  <si>
    <t>L=10</t>
  </si>
  <si>
    <t>Оводненность корней</t>
  </si>
  <si>
    <t>Оводненность побегов</t>
  </si>
  <si>
    <t>Массовая доля</t>
  </si>
  <si>
    <t>Средняя сорбция на грамм сухой массы кл.ст</t>
  </si>
  <si>
    <t>Концентрация меди на г сырой массы корня</t>
  </si>
  <si>
    <t>Концентрация меди на г сухой массы корня</t>
  </si>
  <si>
    <t>Контроль 1</t>
  </si>
  <si>
    <t>Контроль 2</t>
  </si>
  <si>
    <t>Контроль 3</t>
  </si>
  <si>
    <t>L=30</t>
  </si>
  <si>
    <t>Концентрация меди на г сырой массы побега</t>
  </si>
  <si>
    <t>Концентрация меди на г сухой массы побега</t>
  </si>
  <si>
    <t>Сырая масса побегов</t>
  </si>
  <si>
    <t>Сухая масса побегов</t>
  </si>
  <si>
    <t>Предобработка гистидином</t>
  </si>
  <si>
    <t>Gln 1 мМ. 1</t>
  </si>
  <si>
    <t>Gln 1 мМ. 2</t>
  </si>
  <si>
    <t>Gln 1 мМ. 3</t>
  </si>
  <si>
    <t>Gln 5 мМ. 1</t>
  </si>
  <si>
    <t>Gln 5 мМ. 2</t>
  </si>
  <si>
    <t>Gln 5 мМ.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</si>
</sst>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Times New Roman"/>
      <family val="1"/>
      <charset val="204"/>
    </font>
    <font>
      <vertAlign val="subscript"/>
      <sz val="16"/>
      <color theme="1"/>
      <name val="Times New Roman"/>
      <family val="1"/>
      <charset val="204"/>
    </font>
    <font>
      <sz val="16"/>
      <name val="Times New Roman"/>
      <family val="1"/>
      <charset val="20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Fill="1" applyBorder="1"/>
    <xf numFmtId="0" fontId="0" fillId="2" borderId="0" xfId="0" applyFill="1"/>
    <xf numFmtId="0" fontId="0" fillId="2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164" fontId="5" fillId="0" borderId="1" xfId="0" applyNumberFormat="1" applyFont="1" applyBorder="1" applyAlignment="1">
      <alignment wrapText="1"/>
    </xf>
    <xf numFmtId="0" fontId="5" fillId="0" borderId="1" xfId="0" applyFont="1" applyBorder="1"/>
    <xf numFmtId="1" fontId="5" fillId="0" borderId="1" xfId="0" applyNumberFormat="1" applyFont="1" applyBorder="1" applyAlignment="1">
      <alignment wrapText="1"/>
    </xf>
    <xf numFmtId="165" fontId="5" fillId="0" borderId="1" xfId="0" applyNumberFormat="1" applyFont="1" applyBorder="1" applyAlignment="1">
      <alignment wrapText="1"/>
    </xf>
    <xf numFmtId="164" fontId="7" fillId="0" borderId="1" xfId="0" applyNumberFormat="1" applyFont="1" applyBorder="1" applyAlignment="1">
      <alignment wrapText="1"/>
    </xf>
    <xf numFmtId="0" fontId="5" fillId="0" borderId="9" xfId="0" applyFont="1" applyFill="1" applyBorder="1"/>
    <xf numFmtId="0" fontId="5" fillId="0" borderId="0" xfId="0" applyFont="1"/>
    <xf numFmtId="0" fontId="5" fillId="0" borderId="0" xfId="0" applyFont="1" applyAlignment="1">
      <alignment wrapText="1"/>
    </xf>
    <xf numFmtId="164" fontId="5" fillId="0" borderId="1" xfId="0" applyNumberFormat="1" applyFont="1" applyBorder="1"/>
    <xf numFmtId="0" fontId="7" fillId="0" borderId="1" xfId="0" applyFont="1" applyBorder="1"/>
    <xf numFmtId="1" fontId="7" fillId="0" borderId="1" xfId="0" applyNumberFormat="1" applyFont="1" applyBorder="1" applyAlignment="1">
      <alignment wrapText="1"/>
    </xf>
    <xf numFmtId="165" fontId="7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9" xfId="0" applyFont="1" applyFill="1" applyBorder="1" applyAlignment="1"/>
    <xf numFmtId="0" fontId="5" fillId="0" borderId="0" xfId="0" applyFon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/>
    <xf numFmtId="2" fontId="5" fillId="0" borderId="1" xfId="0" applyNumberFormat="1" applyFont="1" applyBorder="1" applyAlignment="1">
      <alignment wrapText="1"/>
    </xf>
    <xf numFmtId="2" fontId="0" fillId="0" borderId="0" xfId="0" applyNumberFormat="1"/>
    <xf numFmtId="0" fontId="0" fillId="3" borderId="0" xfId="0" applyFill="1" applyBorder="1"/>
    <xf numFmtId="0" fontId="8" fillId="4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164" fontId="5" fillId="0" borderId="8" xfId="0" applyNumberFormat="1" applyFont="1" applyBorder="1" applyAlignment="1">
      <alignment horizontal="center" wrapText="1"/>
    </xf>
    <xf numFmtId="164" fontId="5" fillId="0" borderId="9" xfId="0" applyNumberFormat="1" applyFont="1" applyBorder="1" applyAlignment="1">
      <alignment horizontal="center" wrapText="1"/>
    </xf>
    <xf numFmtId="164" fontId="5" fillId="0" borderId="10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'Обработка интактных растений'!$A$19</c:f>
              <c:strCache>
                <c:ptCount val="1"/>
                <c:pt idx="0">
                  <c:v>Калибровка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468197725284339"/>
                  <c:y val="-0.175602216389617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'Обработка интактных растений'!$C$21:$C$25</c:f>
              <c:numCache>
                <c:formatCode>General</c:formatCode>
                <c:ptCount val="5"/>
                <c:pt idx="0">
                  <c:v>9.0999999999999998E-2</c:v>
                </c:pt>
                <c:pt idx="1">
                  <c:v>0.14299999999999999</c:v>
                </c:pt>
                <c:pt idx="2">
                  <c:v>0.192</c:v>
                </c:pt>
                <c:pt idx="3">
                  <c:v>0.24399999999999999</c:v>
                </c:pt>
                <c:pt idx="4">
                  <c:v>0.3</c:v>
                </c:pt>
              </c:numCache>
            </c:numRef>
          </c:xVal>
          <c:yVal>
            <c:numRef>
              <c:f>'Обработка интактных растений'!$B$21:$B$25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D0-42AD-9620-FFDD40F5B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757960"/>
        <c:axId val="559758944"/>
      </c:scatterChart>
      <c:valAx>
        <c:axId val="55975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58944"/>
        <c:crosses val="autoZero"/>
        <c:crossBetween val="midCat"/>
      </c:valAx>
      <c:valAx>
        <c:axId val="5597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5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'Сорбция клеточной стенкой'!$A$28</c:f>
              <c:strCache>
                <c:ptCount val="1"/>
                <c:pt idx="0">
                  <c:v>Калибровка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213670166229218"/>
                  <c:y val="-0.181289370078740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'Сорбция клеточной стенкой'!$C$30:$C$34</c:f>
              <c:numCache>
                <c:formatCode>General</c:formatCode>
                <c:ptCount val="5"/>
                <c:pt idx="0">
                  <c:v>4.1000000000000002E-2</c:v>
                </c:pt>
                <c:pt idx="1">
                  <c:v>0.09</c:v>
                </c:pt>
                <c:pt idx="2">
                  <c:v>0.14099999999999999</c:v>
                </c:pt>
                <c:pt idx="3">
                  <c:v>0.193</c:v>
                </c:pt>
                <c:pt idx="4">
                  <c:v>0.245</c:v>
                </c:pt>
              </c:numCache>
            </c:numRef>
          </c:xVal>
          <c:yVal>
            <c:numRef>
              <c:f>'Сорбция клеточной стенкой'!$B$30:$B$34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B-4D6D-9941-6A97C33EC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047359"/>
        <c:axId val="1712248735"/>
      </c:scatterChart>
      <c:valAx>
        <c:axId val="171004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2248735"/>
        <c:crosses val="autoZero"/>
        <c:crossBetween val="midCat"/>
      </c:valAx>
      <c:valAx>
        <c:axId val="17122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004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Десорбция!$A$22</c:f>
              <c:strCache>
                <c:ptCount val="1"/>
                <c:pt idx="0">
                  <c:v>Калибровка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357130358705162"/>
                  <c:y val="-0.179111986001749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Десорбция!$C$24:$C$29</c:f>
              <c:numCache>
                <c:formatCode>General</c:formatCode>
                <c:ptCount val="6"/>
                <c:pt idx="0">
                  <c:v>0.105</c:v>
                </c:pt>
                <c:pt idx="1">
                  <c:v>0.151</c:v>
                </c:pt>
                <c:pt idx="2">
                  <c:v>0.20300000000000001</c:v>
                </c:pt>
                <c:pt idx="3">
                  <c:v>0.254</c:v>
                </c:pt>
                <c:pt idx="4">
                  <c:v>0.30399999999999999</c:v>
                </c:pt>
              </c:numCache>
            </c:numRef>
          </c:xVal>
          <c:yVal>
            <c:numRef>
              <c:f>Десорбция!$B$24:$B$28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9-4D0B-BB4E-ADD7057A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828096"/>
        <c:axId val="567713456"/>
      </c:scatterChart>
      <c:valAx>
        <c:axId val="41182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7713456"/>
        <c:crosses val="autoZero"/>
        <c:crossBetween val="midCat"/>
      </c:valAx>
      <c:valAx>
        <c:axId val="5677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182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'Озоление корней'!$C$20</c:f>
              <c:strCache>
                <c:ptCount val="1"/>
                <c:pt idx="0">
                  <c:v>0,031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761001749781278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'Озоление корней'!$C$20:$C$24</c:f>
              <c:numCache>
                <c:formatCode>General</c:formatCode>
                <c:ptCount val="5"/>
                <c:pt idx="0">
                  <c:v>3.1E-2</c:v>
                </c:pt>
                <c:pt idx="1">
                  <c:v>9.2999999999999999E-2</c:v>
                </c:pt>
                <c:pt idx="2">
                  <c:v>0.158</c:v>
                </c:pt>
                <c:pt idx="3">
                  <c:v>0.22600000000000001</c:v>
                </c:pt>
                <c:pt idx="4">
                  <c:v>0.29099999999999998</c:v>
                </c:pt>
              </c:numCache>
            </c:numRef>
          </c:xVal>
          <c:yVal>
            <c:numRef>
              <c:f>'Озоление корней'!$B$20:$B$24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01-4652-B03C-31ABF5D1E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293967"/>
        <c:axId val="1534417903"/>
      </c:scatterChart>
      <c:valAx>
        <c:axId val="122529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4417903"/>
        <c:crosses val="autoZero"/>
        <c:crossBetween val="midCat"/>
      </c:valAx>
      <c:valAx>
        <c:axId val="153441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529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35651793525805"/>
                  <c:y val="-0.193884149897929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'Озоление побегов'!$C$21:$C$25</c:f>
              <c:numCache>
                <c:formatCode>General</c:formatCode>
                <c:ptCount val="5"/>
                <c:pt idx="0">
                  <c:v>4.3999999999999997E-2</c:v>
                </c:pt>
                <c:pt idx="1">
                  <c:v>9.1999999999999998E-2</c:v>
                </c:pt>
                <c:pt idx="2">
                  <c:v>0.14099999999999999</c:v>
                </c:pt>
                <c:pt idx="3">
                  <c:v>0.191</c:v>
                </c:pt>
                <c:pt idx="4">
                  <c:v>0.248</c:v>
                </c:pt>
              </c:numCache>
            </c:numRef>
          </c:xVal>
          <c:yVal>
            <c:numRef>
              <c:f>'Озоление побегов'!$B$21:$B$25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A-4BE1-A63F-FBE10E110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659215"/>
        <c:axId val="1680401183"/>
      </c:scatterChart>
      <c:valAx>
        <c:axId val="164665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0401183"/>
        <c:crosses val="autoZero"/>
        <c:crossBetween val="midCat"/>
      </c:valAx>
      <c:valAx>
        <c:axId val="168040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65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991032370953627"/>
                  <c:y val="-0.194273476232137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'Озоление побегов'!$C$27:$C$31</c:f>
              <c:numCache>
                <c:formatCode>General</c:formatCode>
                <c:ptCount val="5"/>
                <c:pt idx="0">
                  <c:v>4.2999999999999997E-2</c:v>
                </c:pt>
                <c:pt idx="1">
                  <c:v>9.2999999999999999E-2</c:v>
                </c:pt>
                <c:pt idx="2">
                  <c:v>0.14499999999999999</c:v>
                </c:pt>
                <c:pt idx="3">
                  <c:v>0.19600000000000001</c:v>
                </c:pt>
                <c:pt idx="4">
                  <c:v>0.25</c:v>
                </c:pt>
              </c:numCache>
            </c:numRef>
          </c:xVal>
          <c:yVal>
            <c:numRef>
              <c:f>'Озоление побегов'!$B$27:$B$31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52-4C21-AFC6-5DDA16CD5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660415"/>
        <c:axId val="1638000127"/>
      </c:scatterChart>
      <c:valAx>
        <c:axId val="164666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8000127"/>
        <c:crosses val="autoZero"/>
        <c:crossBetween val="midCat"/>
      </c:valAx>
      <c:valAx>
        <c:axId val="163800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660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20</xdr:row>
      <xdr:rowOff>19050</xdr:rowOff>
    </xdr:from>
    <xdr:to>
      <xdr:col>10</xdr:col>
      <xdr:colOff>142875</xdr:colOff>
      <xdr:row>34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D3279B2-FA2E-42B5-85CB-A1418179F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27</xdr:row>
      <xdr:rowOff>223837</xdr:rowOff>
    </xdr:from>
    <xdr:to>
      <xdr:col>10</xdr:col>
      <xdr:colOff>381000</xdr:colOff>
      <xdr:row>37</xdr:row>
      <xdr:rowOff>138112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85EB7BB-AEE5-4866-A7ED-0DFCA16E0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21</xdr:row>
      <xdr:rowOff>223837</xdr:rowOff>
    </xdr:from>
    <xdr:to>
      <xdr:col>10</xdr:col>
      <xdr:colOff>762000</xdr:colOff>
      <xdr:row>32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CF8521B-559D-43AE-92FA-608570F66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18</xdr:row>
      <xdr:rowOff>42862</xdr:rowOff>
    </xdr:from>
    <xdr:to>
      <xdr:col>9</xdr:col>
      <xdr:colOff>628650</xdr:colOff>
      <xdr:row>32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D1CF8C0-6B40-4B70-A807-6FC1C6936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15</xdr:row>
      <xdr:rowOff>176212</xdr:rowOff>
    </xdr:from>
    <xdr:to>
      <xdr:col>7</xdr:col>
      <xdr:colOff>381000</xdr:colOff>
      <xdr:row>25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2FCACD0-C356-4BD1-B33D-8F0CA09ED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476250</xdr:colOff>
      <xdr:row>27</xdr:row>
      <xdr:rowOff>23812</xdr:rowOff>
    </xdr:from>
    <xdr:to>
      <xdr:col>9</xdr:col>
      <xdr:colOff>495300</xdr:colOff>
      <xdr:row>41</xdr:row>
      <xdr:rowOff>100012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B9B8EFD-DBEF-4363-ABFE-DFDF454B2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workbookViewId="0">
      <selection activeCell="A8" sqref="A8:A16"/>
    </sheetView>
  </sheetViews>
  <sheetFormatPr defaultRowHeight="15" x14ac:dyDescent="0.25"/>
  <cols>
    <col min="1" max="1" width="14.140625" customWidth="1"/>
    <col min="2" max="2" width="11.7109375" customWidth="1"/>
    <col min="3" max="3" width="11.42578125" customWidth="1"/>
    <col min="4" max="4" width="11" customWidth="1"/>
    <col min="5" max="5" width="10.7109375" customWidth="1"/>
    <col min="6" max="6" width="14.28515625" customWidth="1"/>
    <col min="7" max="7" width="14" customWidth="1"/>
  </cols>
  <sheetData>
    <row r="1" spans="1:7" ht="26.25" x14ac:dyDescent="0.4">
      <c r="A1" s="2" t="s">
        <v>26</v>
      </c>
    </row>
    <row r="3" spans="1:7" ht="3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s="26" t="s">
        <v>89</v>
      </c>
      <c r="G3" s="26" t="s">
        <v>90</v>
      </c>
    </row>
    <row r="4" spans="1:7" x14ac:dyDescent="0.25">
      <c r="A4" s="33" t="s">
        <v>6</v>
      </c>
      <c r="B4" s="33"/>
      <c r="C4" s="33"/>
      <c r="D4" s="33"/>
      <c r="E4" s="33"/>
      <c r="F4" s="33"/>
    </row>
    <row r="5" spans="1:7" x14ac:dyDescent="0.25">
      <c r="A5" t="s">
        <v>7</v>
      </c>
      <c r="B5">
        <v>1.1066</v>
      </c>
      <c r="C5">
        <v>1.7271000000000001</v>
      </c>
      <c r="D5">
        <v>6.7000000000000004E-2</v>
      </c>
      <c r="E5">
        <v>0.1754</v>
      </c>
      <c r="F5">
        <f>(B5-D5)/D5</f>
        <v>15.516417910447762</v>
      </c>
      <c r="G5">
        <f>(C5-E5)/E5</f>
        <v>8.8466362599771955</v>
      </c>
    </row>
    <row r="6" spans="1:7" x14ac:dyDescent="0.25">
      <c r="A6" t="s">
        <v>8</v>
      </c>
      <c r="B6">
        <v>1.1644000000000001</v>
      </c>
      <c r="C6">
        <v>1.9091</v>
      </c>
      <c r="D6">
        <v>7.1999999999999995E-2</v>
      </c>
      <c r="E6">
        <v>0.1968</v>
      </c>
      <c r="F6">
        <f t="shared" ref="F6:F16" si="0">(B6-D6)/D6</f>
        <v>15.172222222222224</v>
      </c>
      <c r="G6">
        <f t="shared" ref="G6:G16" si="1">(C6-E6)/E6</f>
        <v>8.7007113821138216</v>
      </c>
    </row>
    <row r="7" spans="1:7" x14ac:dyDescent="0.25">
      <c r="A7" t="s">
        <v>9</v>
      </c>
      <c r="B7">
        <v>1.2077</v>
      </c>
      <c r="C7">
        <v>1.9044000000000001</v>
      </c>
      <c r="D7">
        <v>7.4200000000000002E-2</v>
      </c>
      <c r="E7">
        <v>0.19350000000000001</v>
      </c>
      <c r="F7">
        <f t="shared" si="0"/>
        <v>15.276280323450134</v>
      </c>
      <c r="G7">
        <f t="shared" si="1"/>
        <v>8.8418604651162784</v>
      </c>
    </row>
    <row r="8" spans="1:7" ht="18" x14ac:dyDescent="0.35">
      <c r="A8" t="s">
        <v>10</v>
      </c>
      <c r="B8">
        <v>1.2332000000000001</v>
      </c>
      <c r="C8">
        <v>2.2216999999999998</v>
      </c>
      <c r="D8">
        <v>8.2000000000000003E-2</v>
      </c>
      <c r="E8">
        <v>0.23910000000000001</v>
      </c>
      <c r="F8">
        <f t="shared" si="0"/>
        <v>14.039024390243902</v>
      </c>
      <c r="G8">
        <f t="shared" si="1"/>
        <v>8.2919280635717261</v>
      </c>
    </row>
    <row r="9" spans="1:7" ht="18" x14ac:dyDescent="0.35">
      <c r="A9" t="s">
        <v>11</v>
      </c>
      <c r="B9">
        <v>1.3262</v>
      </c>
      <c r="C9">
        <v>2.3915000000000002</v>
      </c>
      <c r="D9">
        <v>8.7999999999999995E-2</v>
      </c>
      <c r="E9">
        <v>0.25950000000000001</v>
      </c>
      <c r="F9">
        <f t="shared" si="0"/>
        <v>14.070454545454545</v>
      </c>
      <c r="G9">
        <f t="shared" si="1"/>
        <v>8.2157996146435455</v>
      </c>
    </row>
    <row r="10" spans="1:7" ht="18" x14ac:dyDescent="0.35">
      <c r="A10" t="s">
        <v>12</v>
      </c>
      <c r="B10">
        <v>1.0759000000000001</v>
      </c>
      <c r="C10">
        <v>2.0369000000000002</v>
      </c>
      <c r="D10">
        <v>6.9500000000000006E-2</v>
      </c>
      <c r="E10">
        <v>0.2132</v>
      </c>
      <c r="F10">
        <f t="shared" si="0"/>
        <v>14.480575539568347</v>
      </c>
      <c r="G10">
        <f t="shared" si="1"/>
        <v>8.553939962476548</v>
      </c>
    </row>
    <row r="11" spans="1:7" x14ac:dyDescent="0.25">
      <c r="A11" t="s">
        <v>104</v>
      </c>
      <c r="B11">
        <v>1.198</v>
      </c>
      <c r="C11">
        <v>2.1128999999999998</v>
      </c>
      <c r="D11">
        <v>8.0799999999999997E-2</v>
      </c>
      <c r="E11">
        <v>0.22270000000000001</v>
      </c>
      <c r="F11">
        <f t="shared" si="0"/>
        <v>13.826732673267326</v>
      </c>
      <c r="G11">
        <f t="shared" si="1"/>
        <v>8.4876515491692839</v>
      </c>
    </row>
    <row r="12" spans="1:7" x14ac:dyDescent="0.25">
      <c r="A12" t="s">
        <v>105</v>
      </c>
      <c r="B12">
        <v>1.1640999999999999</v>
      </c>
      <c r="C12">
        <v>2.0798000000000001</v>
      </c>
      <c r="D12">
        <v>7.51E-2</v>
      </c>
      <c r="E12">
        <v>0.21970000000000001</v>
      </c>
      <c r="F12">
        <f t="shared" si="0"/>
        <v>14.500665778961384</v>
      </c>
      <c r="G12">
        <f t="shared" si="1"/>
        <v>8.4665452890304955</v>
      </c>
    </row>
    <row r="13" spans="1:7" x14ac:dyDescent="0.25">
      <c r="A13" t="s">
        <v>106</v>
      </c>
      <c r="B13">
        <v>1.2244999999999999</v>
      </c>
      <c r="C13">
        <v>2.1029</v>
      </c>
      <c r="D13">
        <v>8.1000000000000003E-2</v>
      </c>
      <c r="E13">
        <v>0.22620000000000001</v>
      </c>
      <c r="F13">
        <f t="shared" si="0"/>
        <v>14.117283950617283</v>
      </c>
      <c r="G13">
        <f t="shared" si="1"/>
        <v>8.2966401414677282</v>
      </c>
    </row>
    <row r="14" spans="1:7" x14ac:dyDescent="0.25">
      <c r="A14" t="s">
        <v>107</v>
      </c>
      <c r="B14">
        <v>1.3042</v>
      </c>
      <c r="C14">
        <v>1.9764999999999999</v>
      </c>
      <c r="D14">
        <v>8.3699999999999997E-2</v>
      </c>
      <c r="E14">
        <v>0.20469999999999999</v>
      </c>
      <c r="F14">
        <f t="shared" si="0"/>
        <v>14.58183990442055</v>
      </c>
      <c r="G14">
        <f t="shared" si="1"/>
        <v>8.6555935515388374</v>
      </c>
    </row>
    <row r="15" spans="1:7" x14ac:dyDescent="0.25">
      <c r="A15" t="s">
        <v>108</v>
      </c>
      <c r="B15">
        <v>1.2759</v>
      </c>
      <c r="C15">
        <v>2.0047000000000001</v>
      </c>
      <c r="D15">
        <v>8.1699999999999995E-2</v>
      </c>
      <c r="E15">
        <v>0.20880000000000001</v>
      </c>
      <c r="F15">
        <f t="shared" si="0"/>
        <v>14.616891064871481</v>
      </c>
      <c r="G15">
        <f t="shared" si="1"/>
        <v>8.601053639846743</v>
      </c>
    </row>
    <row r="16" spans="1:7" x14ac:dyDescent="0.25">
      <c r="A16" t="s">
        <v>109</v>
      </c>
      <c r="B16">
        <v>1.1962999999999999</v>
      </c>
      <c r="C16">
        <v>1.8772</v>
      </c>
      <c r="D16">
        <v>7.7100000000000002E-2</v>
      </c>
      <c r="E16">
        <v>0.19259999999999999</v>
      </c>
      <c r="F16">
        <f t="shared" si="0"/>
        <v>14.51621271076524</v>
      </c>
      <c r="G16">
        <f t="shared" si="1"/>
        <v>8.7466251298027</v>
      </c>
    </row>
    <row r="17" spans="1:6" x14ac:dyDescent="0.25">
      <c r="A17" s="33" t="s">
        <v>19</v>
      </c>
      <c r="B17" s="33"/>
      <c r="C17" s="33"/>
      <c r="D17" s="33"/>
      <c r="E17" s="33"/>
      <c r="F17" s="33"/>
    </row>
    <row r="18" spans="1:6" ht="30" x14ac:dyDescent="0.25">
      <c r="A18" s="1" t="s">
        <v>0</v>
      </c>
      <c r="B18" t="s">
        <v>1</v>
      </c>
      <c r="C18" t="s">
        <v>3</v>
      </c>
      <c r="D18" t="s">
        <v>5</v>
      </c>
      <c r="E18" s="25" t="s">
        <v>91</v>
      </c>
      <c r="F18" s="1"/>
    </row>
    <row r="19" spans="1:6" ht="18" x14ac:dyDescent="0.35">
      <c r="A19" t="s">
        <v>10</v>
      </c>
      <c r="B19">
        <v>1.4438</v>
      </c>
      <c r="C19" s="27">
        <f>B19/(1+15.32164015)</f>
        <v>8.8459247154765872E-2</v>
      </c>
      <c r="D19">
        <v>3.7699999999999997E-2</v>
      </c>
      <c r="E19">
        <f>D19/C19</f>
        <v>0.42618495197049455</v>
      </c>
    </row>
    <row r="20" spans="1:6" ht="18" x14ac:dyDescent="0.35">
      <c r="A20" t="s">
        <v>11</v>
      </c>
      <c r="B20">
        <v>1.4423999999999999</v>
      </c>
      <c r="C20" s="27">
        <f t="shared" ref="C20:C33" si="2">B20/(1+15.32164015)</f>
        <v>8.8373471461445002E-2</v>
      </c>
      <c r="D20">
        <v>3.6200000000000003E-2</v>
      </c>
      <c r="E20">
        <f t="shared" ref="E20:E33" si="3">D20/C20</f>
        <v>0.40962518956600119</v>
      </c>
    </row>
    <row r="21" spans="1:6" ht="18" x14ac:dyDescent="0.35">
      <c r="A21" t="s">
        <v>12</v>
      </c>
      <c r="B21">
        <v>1.2081999999999999</v>
      </c>
      <c r="C21" s="27">
        <f t="shared" si="2"/>
        <v>7.4024423335910874E-2</v>
      </c>
      <c r="D21">
        <v>3.2000000000000001E-2</v>
      </c>
      <c r="E21">
        <f t="shared" si="3"/>
        <v>0.43228975732494623</v>
      </c>
    </row>
    <row r="22" spans="1:6" x14ac:dyDescent="0.25">
      <c r="A22" t="s">
        <v>104</v>
      </c>
      <c r="B22">
        <v>1.095</v>
      </c>
      <c r="C22" s="27">
        <f t="shared" si="2"/>
        <v>6.7088845847394815E-2</v>
      </c>
      <c r="D22">
        <v>2.8000000000000001E-2</v>
      </c>
      <c r="E22">
        <f t="shared" si="3"/>
        <v>0.41735700840182649</v>
      </c>
    </row>
    <row r="23" spans="1:6" x14ac:dyDescent="0.25">
      <c r="A23" t="s">
        <v>105</v>
      </c>
      <c r="B23">
        <v>1.135</v>
      </c>
      <c r="C23" s="27">
        <f t="shared" si="2"/>
        <v>6.9539579942276816E-2</v>
      </c>
      <c r="D23">
        <v>2.8799999999999999E-2</v>
      </c>
      <c r="E23">
        <f t="shared" si="3"/>
        <v>0.41415263111894274</v>
      </c>
    </row>
    <row r="24" spans="1:6" x14ac:dyDescent="0.25">
      <c r="A24" t="s">
        <v>106</v>
      </c>
      <c r="B24">
        <v>1.2143999999999999</v>
      </c>
      <c r="C24" s="27">
        <f t="shared" si="2"/>
        <v>7.4404287120617585E-2</v>
      </c>
      <c r="D24">
        <v>3.2500000000000001E-2</v>
      </c>
      <c r="E24">
        <f t="shared" si="3"/>
        <v>0.43680278728178529</v>
      </c>
    </row>
    <row r="25" spans="1:6" x14ac:dyDescent="0.25">
      <c r="A25" t="s">
        <v>107</v>
      </c>
      <c r="B25">
        <v>1.3568</v>
      </c>
      <c r="C25" s="27">
        <f t="shared" si="2"/>
        <v>8.3128900498397523E-2</v>
      </c>
      <c r="D25">
        <v>3.4099999999999998E-2</v>
      </c>
      <c r="E25">
        <f t="shared" si="3"/>
        <v>0.4102063156802771</v>
      </c>
    </row>
    <row r="26" spans="1:6" x14ac:dyDescent="0.25">
      <c r="A26" t="s">
        <v>108</v>
      </c>
      <c r="B26">
        <v>1.2968</v>
      </c>
      <c r="C26" s="27">
        <f t="shared" si="2"/>
        <v>7.9452799356074508E-2</v>
      </c>
      <c r="D26">
        <v>3.44E-2</v>
      </c>
      <c r="E26">
        <f t="shared" si="3"/>
        <v>0.43296145987045037</v>
      </c>
    </row>
    <row r="27" spans="1:6" x14ac:dyDescent="0.25">
      <c r="A27" t="s">
        <v>109</v>
      </c>
      <c r="B27">
        <v>1.2481</v>
      </c>
      <c r="C27" s="27">
        <f t="shared" si="2"/>
        <v>7.6469030595555681E-2</v>
      </c>
      <c r="D27">
        <v>3.3700000000000001E-2</v>
      </c>
      <c r="E27">
        <f t="shared" si="3"/>
        <v>0.44070128439628237</v>
      </c>
    </row>
    <row r="28" spans="1:6" x14ac:dyDescent="0.25">
      <c r="A28" s="31" t="s">
        <v>20</v>
      </c>
      <c r="B28">
        <v>1.0544</v>
      </c>
      <c r="C28" s="27">
        <f t="shared" si="2"/>
        <v>6.460135074108958E-2</v>
      </c>
      <c r="D28">
        <v>3.0099999999999998E-2</v>
      </c>
      <c r="E28">
        <f t="shared" si="3"/>
        <v>0.46593453007871777</v>
      </c>
    </row>
    <row r="29" spans="1:6" x14ac:dyDescent="0.25">
      <c r="A29" s="31" t="s">
        <v>21</v>
      </c>
      <c r="B29">
        <v>1.0824</v>
      </c>
      <c r="C29" s="27">
        <f t="shared" si="2"/>
        <v>6.6316864607506992E-2</v>
      </c>
      <c r="D29">
        <v>3.4099999999999998E-2</v>
      </c>
      <c r="E29">
        <f t="shared" si="3"/>
        <v>0.514198012855691</v>
      </c>
    </row>
    <row r="30" spans="1:6" x14ac:dyDescent="0.25">
      <c r="A30" s="31" t="s">
        <v>22</v>
      </c>
      <c r="B30">
        <v>1.1947000000000001</v>
      </c>
      <c r="C30" s="27">
        <f t="shared" si="2"/>
        <v>7.3197300578888208E-2</v>
      </c>
      <c r="D30">
        <v>3.1E-2</v>
      </c>
      <c r="E30">
        <f t="shared" si="3"/>
        <v>0.4235128857872269</v>
      </c>
    </row>
    <row r="31" spans="1:6" x14ac:dyDescent="0.25">
      <c r="A31" s="31" t="s">
        <v>23</v>
      </c>
      <c r="B31">
        <v>1.1514</v>
      </c>
      <c r="C31" s="27">
        <f t="shared" si="2"/>
        <v>7.0544380921178443E-2</v>
      </c>
      <c r="D31">
        <v>2.5100000000000001E-2</v>
      </c>
      <c r="E31">
        <f t="shared" si="3"/>
        <v>0.3558043840237971</v>
      </c>
    </row>
    <row r="32" spans="1:6" x14ac:dyDescent="0.25">
      <c r="A32" s="31" t="s">
        <v>24</v>
      </c>
      <c r="B32">
        <v>1.3408</v>
      </c>
      <c r="C32" s="27">
        <f t="shared" si="2"/>
        <v>8.2148606860444714E-2</v>
      </c>
      <c r="D32">
        <v>2.7699999999999999E-2</v>
      </c>
      <c r="E32">
        <f t="shared" si="3"/>
        <v>0.33719378889841889</v>
      </c>
    </row>
    <row r="33" spans="1:5" x14ac:dyDescent="0.25">
      <c r="A33" s="31" t="s">
        <v>25</v>
      </c>
      <c r="B33">
        <v>1.1816</v>
      </c>
      <c r="C33" s="27">
        <f t="shared" si="2"/>
        <v>7.2394685162814346E-2</v>
      </c>
      <c r="D33">
        <v>3.1E-2</v>
      </c>
      <c r="E33">
        <f t="shared" si="3"/>
        <v>0.42820823006939746</v>
      </c>
    </row>
    <row r="35" spans="1:5" x14ac:dyDescent="0.25">
      <c r="A35" s="32" t="s">
        <v>103</v>
      </c>
      <c r="B35" s="32"/>
    </row>
  </sheetData>
  <mergeCells count="2">
    <mergeCell ref="A4:F4"/>
    <mergeCell ref="A17:F17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6B28-6A00-44CD-B287-3E7DDC42EB33}">
  <dimension ref="A3:E42"/>
  <sheetViews>
    <sheetView tabSelected="1" workbookViewId="0">
      <selection activeCell="N16" sqref="N16"/>
    </sheetView>
  </sheetViews>
  <sheetFormatPr defaultRowHeight="15" x14ac:dyDescent="0.25"/>
  <cols>
    <col min="1" max="1" width="13.7109375" customWidth="1"/>
    <col min="5" max="5" width="10.42578125" customWidth="1"/>
  </cols>
  <sheetData>
    <row r="3" spans="1:5" x14ac:dyDescent="0.25">
      <c r="A3" t="s">
        <v>0</v>
      </c>
      <c r="B3" t="s">
        <v>27</v>
      </c>
    </row>
    <row r="4" spans="1:5" ht="30" customHeight="1" x14ac:dyDescent="0.25">
      <c r="A4" s="34" t="s">
        <v>30</v>
      </c>
      <c r="B4" s="34"/>
    </row>
    <row r="5" spans="1:5" x14ac:dyDescent="0.25">
      <c r="A5" t="s">
        <v>28</v>
      </c>
      <c r="B5">
        <v>5.0599999999999996</v>
      </c>
    </row>
    <row r="6" spans="1:5" x14ac:dyDescent="0.25">
      <c r="A6" t="s">
        <v>29</v>
      </c>
    </row>
    <row r="7" spans="1:5" x14ac:dyDescent="0.25">
      <c r="A7" t="s">
        <v>31</v>
      </c>
      <c r="B7">
        <v>5.03</v>
      </c>
    </row>
    <row r="8" spans="1:5" x14ac:dyDescent="0.25">
      <c r="A8" t="s">
        <v>32</v>
      </c>
      <c r="B8">
        <v>4.9000000000000004</v>
      </c>
    </row>
    <row r="9" spans="1:5" x14ac:dyDescent="0.25">
      <c r="A9" s="6" t="s">
        <v>33</v>
      </c>
      <c r="B9" s="7">
        <v>6.62</v>
      </c>
      <c r="C9" s="35" t="s">
        <v>37</v>
      </c>
      <c r="D9" s="35"/>
      <c r="E9" s="36"/>
    </row>
    <row r="10" spans="1:5" x14ac:dyDescent="0.25">
      <c r="A10" s="8" t="s">
        <v>34</v>
      </c>
      <c r="B10" s="9">
        <v>7.4</v>
      </c>
      <c r="C10" s="37"/>
      <c r="D10" s="37"/>
      <c r="E10" s="38"/>
    </row>
    <row r="11" spans="1:5" ht="29.25" customHeight="1" x14ac:dyDescent="0.25">
      <c r="A11" s="39" t="s">
        <v>35</v>
      </c>
      <c r="B11" s="39"/>
    </row>
    <row r="12" spans="1:5" ht="18" x14ac:dyDescent="0.35">
      <c r="A12" t="s">
        <v>10</v>
      </c>
      <c r="B12" s="3">
        <v>6.45</v>
      </c>
    </row>
    <row r="13" spans="1:5" ht="18" x14ac:dyDescent="0.35">
      <c r="A13" t="s">
        <v>11</v>
      </c>
      <c r="B13" s="3">
        <v>6.72</v>
      </c>
    </row>
    <row r="14" spans="1:5" ht="18" x14ac:dyDescent="0.35">
      <c r="A14" t="s">
        <v>12</v>
      </c>
      <c r="B14" s="3">
        <v>6.59</v>
      </c>
    </row>
    <row r="15" spans="1:5" x14ac:dyDescent="0.25">
      <c r="A15" t="s">
        <v>13</v>
      </c>
      <c r="B15" s="3">
        <v>6.63</v>
      </c>
    </row>
    <row r="16" spans="1:5" x14ac:dyDescent="0.25">
      <c r="A16" t="s">
        <v>14</v>
      </c>
      <c r="B16" s="3">
        <v>6.63</v>
      </c>
    </row>
    <row r="17" spans="1:2" x14ac:dyDescent="0.25">
      <c r="A17" t="s">
        <v>15</v>
      </c>
      <c r="B17" s="3">
        <v>6.57</v>
      </c>
    </row>
    <row r="18" spans="1:2" x14ac:dyDescent="0.25">
      <c r="A18" t="s">
        <v>16</v>
      </c>
      <c r="B18" s="3">
        <v>5.84</v>
      </c>
    </row>
    <row r="19" spans="1:2" x14ac:dyDescent="0.25">
      <c r="A19" t="s">
        <v>17</v>
      </c>
      <c r="B19" s="3">
        <v>5.72</v>
      </c>
    </row>
    <row r="20" spans="1:2" x14ac:dyDescent="0.25">
      <c r="A20" t="s">
        <v>18</v>
      </c>
      <c r="B20" s="3">
        <v>5.97</v>
      </c>
    </row>
    <row r="21" spans="1:2" x14ac:dyDescent="0.25">
      <c r="A21" s="4" t="s">
        <v>20</v>
      </c>
      <c r="B21" s="5">
        <v>4.3600000000000003</v>
      </c>
    </row>
    <row r="22" spans="1:2" x14ac:dyDescent="0.25">
      <c r="A22" s="4" t="s">
        <v>21</v>
      </c>
      <c r="B22" s="5">
        <v>4.33</v>
      </c>
    </row>
    <row r="23" spans="1:2" x14ac:dyDescent="0.25">
      <c r="A23" s="4" t="s">
        <v>22</v>
      </c>
      <c r="B23" s="5">
        <v>4.37</v>
      </c>
    </row>
    <row r="24" spans="1:2" x14ac:dyDescent="0.25">
      <c r="A24" s="4" t="s">
        <v>23</v>
      </c>
      <c r="B24" s="5">
        <v>4.4000000000000004</v>
      </c>
    </row>
    <row r="25" spans="1:2" x14ac:dyDescent="0.25">
      <c r="A25" s="4" t="s">
        <v>24</v>
      </c>
      <c r="B25" s="5">
        <v>4.41</v>
      </c>
    </row>
    <row r="26" spans="1:2" x14ac:dyDescent="0.25">
      <c r="A26" s="4" t="s">
        <v>25</v>
      </c>
      <c r="B26" s="5">
        <v>4.4000000000000004</v>
      </c>
    </row>
    <row r="27" spans="1:2" ht="30" customHeight="1" x14ac:dyDescent="0.25">
      <c r="A27" s="34" t="s">
        <v>36</v>
      </c>
      <c r="B27" s="34"/>
    </row>
    <row r="28" spans="1:2" ht="18" x14ac:dyDescent="0.35">
      <c r="A28" t="s">
        <v>10</v>
      </c>
      <c r="B28" s="30">
        <v>4.5599999999999996</v>
      </c>
    </row>
    <row r="29" spans="1:2" ht="18" x14ac:dyDescent="0.35">
      <c r="A29" t="s">
        <v>11</v>
      </c>
      <c r="B29" s="30">
        <v>4.58</v>
      </c>
    </row>
    <row r="30" spans="1:2" ht="18" x14ac:dyDescent="0.35">
      <c r="A30" t="s">
        <v>12</v>
      </c>
      <c r="B30" s="30">
        <v>4.57</v>
      </c>
    </row>
    <row r="31" spans="1:2" x14ac:dyDescent="0.25">
      <c r="A31" t="s">
        <v>13</v>
      </c>
      <c r="B31" s="30">
        <v>4.76</v>
      </c>
    </row>
    <row r="32" spans="1:2" x14ac:dyDescent="0.25">
      <c r="A32" t="s">
        <v>14</v>
      </c>
      <c r="B32" s="30">
        <v>4.76</v>
      </c>
    </row>
    <row r="33" spans="1:2" x14ac:dyDescent="0.25">
      <c r="A33" t="s">
        <v>15</v>
      </c>
      <c r="B33" s="30">
        <v>4.7699999999999996</v>
      </c>
    </row>
    <row r="34" spans="1:2" x14ac:dyDescent="0.25">
      <c r="A34" t="s">
        <v>16</v>
      </c>
      <c r="B34" s="30">
        <v>4.95</v>
      </c>
    </row>
    <row r="35" spans="1:2" x14ac:dyDescent="0.25">
      <c r="A35" t="s">
        <v>17</v>
      </c>
      <c r="B35" s="30">
        <v>5.0199999999999996</v>
      </c>
    </row>
    <row r="36" spans="1:2" x14ac:dyDescent="0.25">
      <c r="A36" t="s">
        <v>18</v>
      </c>
      <c r="B36" s="30">
        <v>4.97</v>
      </c>
    </row>
    <row r="37" spans="1:2" x14ac:dyDescent="0.25">
      <c r="A37" s="4" t="s">
        <v>20</v>
      </c>
      <c r="B37" s="5">
        <v>4.68</v>
      </c>
    </row>
    <row r="38" spans="1:2" x14ac:dyDescent="0.25">
      <c r="A38" s="4" t="s">
        <v>21</v>
      </c>
      <c r="B38" s="5">
        <v>4.74</v>
      </c>
    </row>
    <row r="39" spans="1:2" x14ac:dyDescent="0.25">
      <c r="A39" s="4" t="s">
        <v>22</v>
      </c>
      <c r="B39" s="5">
        <v>4.74</v>
      </c>
    </row>
    <row r="40" spans="1:2" x14ac:dyDescent="0.25">
      <c r="A40" s="4" t="s">
        <v>23</v>
      </c>
      <c r="B40" s="5">
        <v>4.8</v>
      </c>
    </row>
    <row r="41" spans="1:2" x14ac:dyDescent="0.25">
      <c r="A41" s="4" t="s">
        <v>24</v>
      </c>
      <c r="B41" s="5">
        <v>4.76</v>
      </c>
    </row>
    <row r="42" spans="1:2" x14ac:dyDescent="0.25">
      <c r="A42" s="4" t="s">
        <v>25</v>
      </c>
      <c r="B42" s="5">
        <v>4.7300000000000004</v>
      </c>
    </row>
  </sheetData>
  <mergeCells count="4">
    <mergeCell ref="A4:B4"/>
    <mergeCell ref="C9:E10"/>
    <mergeCell ref="A11:B11"/>
    <mergeCell ref="A27:B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8E3C-37AB-4183-99AA-2432FE667C88}">
  <dimension ref="A3:Q25"/>
  <sheetViews>
    <sheetView workbookViewId="0">
      <selection activeCell="M10" sqref="M10:M12"/>
    </sheetView>
  </sheetViews>
  <sheetFormatPr defaultRowHeight="15" x14ac:dyDescent="0.25"/>
  <cols>
    <col min="1" max="1" width="21.28515625" customWidth="1"/>
    <col min="2" max="2" width="12.42578125" customWidth="1"/>
    <col min="3" max="5" width="9.28515625" bestFit="1" customWidth="1"/>
    <col min="6" max="6" width="11.42578125" customWidth="1"/>
    <col min="7" max="7" width="12" bestFit="1" customWidth="1"/>
    <col min="8" max="9" width="9.85546875" bestFit="1" customWidth="1"/>
    <col min="10" max="10" width="15.5703125" customWidth="1"/>
    <col min="11" max="11" width="15.28515625" customWidth="1"/>
    <col min="12" max="12" width="19.7109375" customWidth="1"/>
    <col min="13" max="13" width="17.5703125" customWidth="1"/>
    <col min="14" max="14" width="18.28515625" customWidth="1"/>
    <col min="15" max="15" width="17.28515625" customWidth="1"/>
    <col min="16" max="16" width="30.5703125" customWidth="1"/>
    <col min="17" max="17" width="31.85546875" customWidth="1"/>
  </cols>
  <sheetData>
    <row r="3" spans="1:17" ht="66.75" customHeight="1" x14ac:dyDescent="0.3">
      <c r="A3" s="10" t="s">
        <v>0</v>
      </c>
      <c r="B3" s="10" t="s">
        <v>38</v>
      </c>
      <c r="C3" s="10" t="s">
        <v>39</v>
      </c>
      <c r="D3" s="10" t="s">
        <v>40</v>
      </c>
      <c r="E3" s="10" t="s">
        <v>41</v>
      </c>
      <c r="F3" s="10" t="s">
        <v>42</v>
      </c>
      <c r="G3" s="10" t="s">
        <v>43</v>
      </c>
      <c r="H3" s="10" t="s">
        <v>44</v>
      </c>
      <c r="I3" s="10" t="s">
        <v>45</v>
      </c>
      <c r="J3" s="10" t="s">
        <v>46</v>
      </c>
      <c r="K3" s="10" t="s">
        <v>47</v>
      </c>
      <c r="L3" s="10" t="s">
        <v>48</v>
      </c>
      <c r="M3" s="10" t="s">
        <v>49</v>
      </c>
      <c r="N3" s="10" t="s">
        <v>50</v>
      </c>
      <c r="O3" s="10" t="s">
        <v>51</v>
      </c>
      <c r="P3" s="10" t="s">
        <v>52</v>
      </c>
      <c r="Q3" s="10" t="s">
        <v>53</v>
      </c>
    </row>
    <row r="4" spans="1:17" ht="23.25" x14ac:dyDescent="0.4">
      <c r="A4" s="11" t="s">
        <v>54</v>
      </c>
      <c r="B4" s="12">
        <v>150</v>
      </c>
      <c r="C4" s="12">
        <v>20</v>
      </c>
      <c r="D4" s="13">
        <v>1.4E-2</v>
      </c>
      <c r="E4" s="13">
        <v>1.2999999999999999E-2</v>
      </c>
      <c r="F4" s="13">
        <f>AVERAGE(D4:E4)</f>
        <v>1.35E-2</v>
      </c>
      <c r="G4" s="10">
        <f>(F4*19.258+0.264)/C4</f>
        <v>2.6199149999999997E-2</v>
      </c>
      <c r="H4" s="10">
        <f>G4/63.5</f>
        <v>4.1258503937007868E-4</v>
      </c>
      <c r="I4" s="10">
        <f>H4*B4</f>
        <v>6.18877559055118E-2</v>
      </c>
      <c r="J4" s="10">
        <v>1.3393431496062991</v>
      </c>
      <c r="K4" s="10">
        <f>J4-I4</f>
        <v>1.2774553937007873</v>
      </c>
      <c r="L4" s="10">
        <f t="shared" ref="L4:L12" si="0">K4/N4</f>
        <v>1.0358866312851016</v>
      </c>
      <c r="M4" s="10">
        <f>K4/O4</f>
        <v>15.578724313424235</v>
      </c>
      <c r="N4" s="11">
        <v>1.2332000000000001</v>
      </c>
      <c r="O4" s="11">
        <v>8.2000000000000003E-2</v>
      </c>
      <c r="P4" s="40">
        <f>AVERAGE(L4:L6)</f>
        <v>1.0583069748998026</v>
      </c>
      <c r="Q4" s="40">
        <f>AVERAGE(M4:M6)</f>
        <v>16.100342670064933</v>
      </c>
    </row>
    <row r="5" spans="1:17" ht="23.25" x14ac:dyDescent="0.4">
      <c r="A5" s="11" t="s">
        <v>55</v>
      </c>
      <c r="B5" s="12">
        <v>150</v>
      </c>
      <c r="C5" s="12">
        <v>20</v>
      </c>
      <c r="D5" s="13">
        <v>1.7999999999999999E-2</v>
      </c>
      <c r="E5" s="13">
        <v>0.02</v>
      </c>
      <c r="F5" s="13">
        <f t="shared" ref="F5:F12" si="1">AVERAGE(D5:E5)</f>
        <v>1.9E-2</v>
      </c>
      <c r="G5" s="10">
        <f t="shared" ref="G5:G12" si="2">(F5*19.258+0.264)/C5</f>
        <v>3.1495099999999998E-2</v>
      </c>
      <c r="H5" s="10">
        <f t="shared" ref="H5:H11" si="3">G5/63.5</f>
        <v>4.9598582677165353E-4</v>
      </c>
      <c r="I5" s="10">
        <f t="shared" ref="I5:I11" si="4">H5*B5</f>
        <v>7.4397874015748031E-2</v>
      </c>
      <c r="J5" s="10">
        <v>1.3393431496062991</v>
      </c>
      <c r="K5" s="10">
        <f t="shared" ref="K5:K11" si="5">J5-I5</f>
        <v>1.264945275590551</v>
      </c>
      <c r="L5" s="10">
        <f t="shared" si="0"/>
        <v>0.95381185009089953</v>
      </c>
      <c r="M5" s="10">
        <f t="shared" ref="M5:M12" si="6">K5/O5</f>
        <v>14.374378131710808</v>
      </c>
      <c r="N5" s="11">
        <v>1.3262</v>
      </c>
      <c r="O5" s="11">
        <v>8.7999999999999995E-2</v>
      </c>
      <c r="P5" s="41"/>
      <c r="Q5" s="41"/>
    </row>
    <row r="6" spans="1:17" ht="23.25" x14ac:dyDescent="0.4">
      <c r="A6" s="11" t="s">
        <v>56</v>
      </c>
      <c r="B6" s="12">
        <v>150</v>
      </c>
      <c r="C6" s="12">
        <v>20</v>
      </c>
      <c r="D6" s="13">
        <v>1.4E-2</v>
      </c>
      <c r="E6" s="13">
        <v>1.4999999999999999E-2</v>
      </c>
      <c r="F6" s="13">
        <f t="shared" si="1"/>
        <v>1.4499999999999999E-2</v>
      </c>
      <c r="G6" s="10">
        <f t="shared" si="2"/>
        <v>2.716205E-2</v>
      </c>
      <c r="H6" s="10">
        <f t="shared" si="3"/>
        <v>4.2774881889763778E-4</v>
      </c>
      <c r="I6" s="10">
        <f t="shared" si="4"/>
        <v>6.4162322834645666E-2</v>
      </c>
      <c r="J6" s="10">
        <v>1.3393431496062991</v>
      </c>
      <c r="K6" s="10">
        <f t="shared" si="5"/>
        <v>1.2751808267716533</v>
      </c>
      <c r="L6" s="10">
        <f t="shared" si="0"/>
        <v>1.1852224433234066</v>
      </c>
      <c r="M6" s="10">
        <f t="shared" si="6"/>
        <v>18.347925565059757</v>
      </c>
      <c r="N6" s="11">
        <v>1.0759000000000001</v>
      </c>
      <c r="O6" s="11">
        <v>6.9500000000000006E-2</v>
      </c>
      <c r="P6" s="42"/>
      <c r="Q6" s="42"/>
    </row>
    <row r="7" spans="1:17" ht="20.25" x14ac:dyDescent="0.3">
      <c r="A7" s="11" t="s">
        <v>57</v>
      </c>
      <c r="B7" s="12">
        <v>150</v>
      </c>
      <c r="C7" s="12">
        <v>10</v>
      </c>
      <c r="D7" s="13">
        <v>0.153</v>
      </c>
      <c r="E7" s="13">
        <v>0.151</v>
      </c>
      <c r="F7" s="13">
        <f t="shared" si="1"/>
        <v>0.152</v>
      </c>
      <c r="G7" s="10">
        <f t="shared" si="2"/>
        <v>0.31912160000000001</v>
      </c>
      <c r="H7" s="10">
        <f t="shared" si="3"/>
        <v>5.0255370078740157E-3</v>
      </c>
      <c r="I7" s="10">
        <f t="shared" si="4"/>
        <v>0.75383055118110232</v>
      </c>
      <c r="J7" s="10">
        <v>1.4576206299212597</v>
      </c>
      <c r="K7" s="10">
        <f t="shared" si="5"/>
        <v>0.70379007874015742</v>
      </c>
      <c r="L7" s="10">
        <f t="shared" si="0"/>
        <v>0.5874708503674102</v>
      </c>
      <c r="M7" s="10">
        <f t="shared" si="6"/>
        <v>8.7102732517346215</v>
      </c>
      <c r="N7" s="11">
        <v>1.198</v>
      </c>
      <c r="O7" s="11">
        <v>8.0799999999999997E-2</v>
      </c>
      <c r="P7" s="40">
        <f>AVERAGE(L7:L9)</f>
        <v>0.59412267965735321</v>
      </c>
      <c r="Q7" s="40">
        <f t="shared" ref="Q7" si="7">AVERAGE(M7:M9)</f>
        <v>8.9988895441350802</v>
      </c>
    </row>
    <row r="8" spans="1:17" ht="20.25" x14ac:dyDescent="0.3">
      <c r="A8" s="11" t="s">
        <v>58</v>
      </c>
      <c r="B8" s="12">
        <v>150</v>
      </c>
      <c r="C8" s="12">
        <v>10</v>
      </c>
      <c r="D8" s="13">
        <v>0.16</v>
      </c>
      <c r="E8" s="13">
        <v>0.156</v>
      </c>
      <c r="F8" s="13">
        <f t="shared" si="1"/>
        <v>0.158</v>
      </c>
      <c r="G8" s="10">
        <f t="shared" si="2"/>
        <v>0.33067640000000004</v>
      </c>
      <c r="H8" s="10">
        <f t="shared" si="3"/>
        <v>5.2075023622047247E-3</v>
      </c>
      <c r="I8" s="10">
        <f t="shared" si="4"/>
        <v>0.78112535433070873</v>
      </c>
      <c r="J8" s="10">
        <v>1.4576206299212597</v>
      </c>
      <c r="K8" s="10">
        <f t="shared" si="5"/>
        <v>0.676495275590551</v>
      </c>
      <c r="L8" s="10">
        <f t="shared" si="0"/>
        <v>0.58113158284558974</v>
      </c>
      <c r="M8" s="10">
        <f t="shared" si="6"/>
        <v>9.0079264392882958</v>
      </c>
      <c r="N8" s="11">
        <v>1.1640999999999999</v>
      </c>
      <c r="O8" s="11">
        <v>7.51E-2</v>
      </c>
      <c r="P8" s="41"/>
      <c r="Q8" s="41"/>
    </row>
    <row r="9" spans="1:17" ht="20.25" x14ac:dyDescent="0.3">
      <c r="A9" s="11" t="s">
        <v>59</v>
      </c>
      <c r="B9" s="12">
        <v>150</v>
      </c>
      <c r="C9" s="12">
        <v>10</v>
      </c>
      <c r="D9" s="13">
        <v>0.14099999999999999</v>
      </c>
      <c r="E9" s="13">
        <v>0.14199999999999999</v>
      </c>
      <c r="F9" s="13">
        <f t="shared" si="1"/>
        <v>0.14149999999999999</v>
      </c>
      <c r="G9" s="10">
        <f t="shared" si="2"/>
        <v>0.29890070000000002</v>
      </c>
      <c r="H9" s="10">
        <f t="shared" si="3"/>
        <v>4.7070976377952762E-3</v>
      </c>
      <c r="I9" s="10">
        <f t="shared" si="4"/>
        <v>0.70606464566929139</v>
      </c>
      <c r="J9" s="10">
        <v>1.4576206299212597</v>
      </c>
      <c r="K9" s="10">
        <f t="shared" si="5"/>
        <v>0.75155598425196835</v>
      </c>
      <c r="L9" s="10">
        <f t="shared" si="0"/>
        <v>0.61376560575905947</v>
      </c>
      <c r="M9" s="10">
        <f t="shared" si="6"/>
        <v>9.2784689413823251</v>
      </c>
      <c r="N9" s="11">
        <v>1.2244999999999999</v>
      </c>
      <c r="O9" s="11">
        <v>8.1000000000000003E-2</v>
      </c>
      <c r="P9" s="42"/>
      <c r="Q9" s="42"/>
    </row>
    <row r="10" spans="1:17" ht="20.25" x14ac:dyDescent="0.3">
      <c r="A10" s="11" t="s">
        <v>60</v>
      </c>
      <c r="B10" s="12">
        <v>150</v>
      </c>
      <c r="C10" s="12">
        <v>10</v>
      </c>
      <c r="D10" s="13">
        <v>0.22500000000000001</v>
      </c>
      <c r="E10" s="13">
        <v>0.22600000000000001</v>
      </c>
      <c r="F10" s="13">
        <f t="shared" si="1"/>
        <v>0.22550000000000001</v>
      </c>
      <c r="G10" s="10">
        <f t="shared" si="2"/>
        <v>0.46066789999999996</v>
      </c>
      <c r="H10" s="10">
        <f t="shared" si="3"/>
        <v>7.2546125984251962E-3</v>
      </c>
      <c r="I10" s="10">
        <f t="shared" si="4"/>
        <v>1.0881918897637795</v>
      </c>
      <c r="J10" s="10">
        <v>1.5167593700787398</v>
      </c>
      <c r="K10" s="14">
        <f t="shared" si="5"/>
        <v>0.42856748031496039</v>
      </c>
      <c r="L10" s="10">
        <f t="shared" si="0"/>
        <v>0.32860564354773836</v>
      </c>
      <c r="M10" s="10">
        <f t="shared" si="6"/>
        <v>5.1202805294499454</v>
      </c>
      <c r="N10" s="11">
        <v>1.3042</v>
      </c>
      <c r="O10" s="11">
        <v>8.3699999999999997E-2</v>
      </c>
      <c r="P10" s="40">
        <f>AVERAGE(L10:L12)</f>
        <v>0.34281716133607648</v>
      </c>
      <c r="Q10" s="40">
        <f t="shared" ref="Q10" si="8">AVERAGE(M10:M12)</f>
        <v>5.3386421432113353</v>
      </c>
    </row>
    <row r="11" spans="1:17" ht="20.25" x14ac:dyDescent="0.3">
      <c r="A11" s="11" t="s">
        <v>61</v>
      </c>
      <c r="B11" s="12">
        <v>150</v>
      </c>
      <c r="C11" s="12">
        <v>10</v>
      </c>
      <c r="D11" s="13">
        <v>0.219</v>
      </c>
      <c r="E11" s="13">
        <v>0.216</v>
      </c>
      <c r="F11" s="13">
        <f t="shared" si="1"/>
        <v>0.2175</v>
      </c>
      <c r="G11" s="10">
        <f t="shared" si="2"/>
        <v>0.44526149999999998</v>
      </c>
      <c r="H11" s="10">
        <f t="shared" si="3"/>
        <v>7.0119921259842516E-3</v>
      </c>
      <c r="I11" s="10">
        <f t="shared" si="4"/>
        <v>1.0517988188976377</v>
      </c>
      <c r="J11" s="10">
        <v>1.5167593700787398</v>
      </c>
      <c r="K11" s="10">
        <f t="shared" si="5"/>
        <v>0.46496055118110213</v>
      </c>
      <c r="L11" s="10">
        <f t="shared" si="0"/>
        <v>0.36441770607500756</v>
      </c>
      <c r="M11" s="10">
        <f t="shared" si="6"/>
        <v>5.6910716178837477</v>
      </c>
      <c r="N11" s="11">
        <v>1.2759</v>
      </c>
      <c r="O11" s="11">
        <v>8.1699999999999995E-2</v>
      </c>
      <c r="P11" s="41"/>
      <c r="Q11" s="41"/>
    </row>
    <row r="12" spans="1:17" ht="20.25" x14ac:dyDescent="0.3">
      <c r="A12" s="11" t="s">
        <v>62</v>
      </c>
      <c r="B12" s="12">
        <v>150</v>
      </c>
      <c r="C12" s="12">
        <v>10</v>
      </c>
      <c r="D12" s="13">
        <v>0.23300000000000001</v>
      </c>
      <c r="E12" s="13">
        <v>0.23</v>
      </c>
      <c r="F12" s="13">
        <f t="shared" si="1"/>
        <v>0.23150000000000001</v>
      </c>
      <c r="G12" s="10">
        <f t="shared" si="2"/>
        <v>0.4722227</v>
      </c>
      <c r="H12" s="10">
        <f>G12/63.5</f>
        <v>7.4365779527559052E-3</v>
      </c>
      <c r="I12" s="10">
        <f>H12*B12</f>
        <v>1.1154866929133858</v>
      </c>
      <c r="J12" s="10">
        <v>1.5167593700787398</v>
      </c>
      <c r="K12" s="10">
        <f>J12-I12</f>
        <v>0.40127267716535409</v>
      </c>
      <c r="L12" s="10">
        <f t="shared" si="0"/>
        <v>0.33542813438548369</v>
      </c>
      <c r="M12" s="10">
        <f t="shared" si="6"/>
        <v>5.204574282300312</v>
      </c>
      <c r="N12" s="11">
        <v>1.1962999999999999</v>
      </c>
      <c r="O12" s="11">
        <v>7.7100000000000002E-2</v>
      </c>
      <c r="P12" s="42"/>
      <c r="Q12" s="42"/>
    </row>
    <row r="13" spans="1:17" ht="20.25" x14ac:dyDescent="0.3">
      <c r="A13" s="15" t="s">
        <v>63</v>
      </c>
    </row>
    <row r="14" spans="1:17" ht="40.5" x14ac:dyDescent="0.3">
      <c r="A14" s="16" t="s">
        <v>0</v>
      </c>
      <c r="B14" s="16" t="s">
        <v>38</v>
      </c>
      <c r="C14" s="16" t="s">
        <v>39</v>
      </c>
      <c r="D14" s="16" t="s">
        <v>40</v>
      </c>
      <c r="E14" s="16" t="s">
        <v>41</v>
      </c>
      <c r="F14" s="16" t="s">
        <v>42</v>
      </c>
      <c r="G14" s="16" t="s">
        <v>43</v>
      </c>
      <c r="H14" s="17" t="s">
        <v>44</v>
      </c>
      <c r="I14" s="17" t="s">
        <v>45</v>
      </c>
    </row>
    <row r="15" spans="1:17" ht="20.25" x14ac:dyDescent="0.3">
      <c r="A15" s="16" t="s">
        <v>64</v>
      </c>
      <c r="B15" s="16">
        <v>150</v>
      </c>
      <c r="C15" s="16">
        <v>5</v>
      </c>
      <c r="D15" s="16">
        <v>0.13300000000000001</v>
      </c>
      <c r="E15" s="16">
        <v>0.13400000000000001</v>
      </c>
      <c r="F15" s="16">
        <f>AVERAGE(D15:E15)</f>
        <v>0.13350000000000001</v>
      </c>
      <c r="G15" s="16">
        <f>(F15*19.258+0.264)/C15</f>
        <v>0.56698859999999995</v>
      </c>
      <c r="H15" s="16">
        <f>G15/63.5</f>
        <v>8.9289543307086612E-3</v>
      </c>
      <c r="I15" s="16">
        <f>H15*B15</f>
        <v>1.3393431496062991</v>
      </c>
    </row>
    <row r="16" spans="1:17" ht="20.25" x14ac:dyDescent="0.3">
      <c r="A16" s="16" t="s">
        <v>65</v>
      </c>
      <c r="B16" s="16">
        <v>150</v>
      </c>
      <c r="C16" s="16">
        <v>5</v>
      </c>
      <c r="D16" s="16">
        <v>0.14599999999999999</v>
      </c>
      <c r="E16" s="16">
        <v>0.14699999999999999</v>
      </c>
      <c r="F16" s="16">
        <f t="shared" ref="F16:F17" si="9">AVERAGE(D16:E16)</f>
        <v>0.14649999999999999</v>
      </c>
      <c r="G16" s="16">
        <f t="shared" ref="G16:G17" si="10">(F16*19.258+0.264)/C16</f>
        <v>0.61705939999999992</v>
      </c>
      <c r="H16" s="16">
        <f t="shared" ref="H16:H17" si="11">G16/63.5</f>
        <v>9.7174708661417319E-3</v>
      </c>
      <c r="I16" s="16">
        <f t="shared" ref="I16:I17" si="12">H16*B16</f>
        <v>1.4576206299212597</v>
      </c>
    </row>
    <row r="17" spans="1:9" ht="20.25" x14ac:dyDescent="0.3">
      <c r="A17" s="16" t="s">
        <v>66</v>
      </c>
      <c r="B17" s="16">
        <v>150</v>
      </c>
      <c r="C17" s="16">
        <v>5</v>
      </c>
      <c r="D17" s="16">
        <v>0.152</v>
      </c>
      <c r="E17" s="16">
        <v>0.154</v>
      </c>
      <c r="F17" s="16">
        <f t="shared" si="9"/>
        <v>0.153</v>
      </c>
      <c r="G17" s="16">
        <f t="shared" si="10"/>
        <v>0.64209479999999997</v>
      </c>
      <c r="H17" s="16">
        <f t="shared" si="11"/>
        <v>1.0111729133858266E-2</v>
      </c>
      <c r="I17" s="16">
        <f t="shared" si="12"/>
        <v>1.5167593700787398</v>
      </c>
    </row>
    <row r="18" spans="1:9" ht="20.25" x14ac:dyDescent="0.3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20.25" x14ac:dyDescent="0.3">
      <c r="A19" s="16" t="s">
        <v>67</v>
      </c>
      <c r="B19" s="16"/>
      <c r="C19" s="16"/>
      <c r="D19" s="16"/>
      <c r="E19" s="16"/>
      <c r="F19" s="16"/>
      <c r="G19" s="16"/>
      <c r="H19" s="16"/>
      <c r="I19" s="16"/>
    </row>
    <row r="20" spans="1:9" ht="40.5" x14ac:dyDescent="0.3">
      <c r="A20" s="16" t="s">
        <v>0</v>
      </c>
      <c r="B20" s="17" t="s">
        <v>68</v>
      </c>
      <c r="C20" s="16" t="s">
        <v>69</v>
      </c>
      <c r="D20" s="16"/>
      <c r="E20" s="16"/>
      <c r="F20" s="16"/>
      <c r="G20" s="16"/>
      <c r="H20" s="16"/>
      <c r="I20" s="16"/>
    </row>
    <row r="21" spans="1:9" x14ac:dyDescent="0.25">
      <c r="A21">
        <v>0.2</v>
      </c>
      <c r="B21">
        <f>A21*10</f>
        <v>2</v>
      </c>
      <c r="C21">
        <v>9.0999999999999998E-2</v>
      </c>
    </row>
    <row r="22" spans="1:9" x14ac:dyDescent="0.25">
      <c r="A22">
        <v>0.3</v>
      </c>
      <c r="B22">
        <f t="shared" ref="B22:B25" si="13">A22*10</f>
        <v>3</v>
      </c>
      <c r="C22">
        <v>0.14299999999999999</v>
      </c>
    </row>
    <row r="23" spans="1:9" x14ac:dyDescent="0.25">
      <c r="A23">
        <v>0.4</v>
      </c>
      <c r="B23">
        <f t="shared" si="13"/>
        <v>4</v>
      </c>
      <c r="C23">
        <v>0.192</v>
      </c>
    </row>
    <row r="24" spans="1:9" x14ac:dyDescent="0.25">
      <c r="A24">
        <v>0.5</v>
      </c>
      <c r="B24">
        <f t="shared" si="13"/>
        <v>5</v>
      </c>
      <c r="C24">
        <v>0.24399999999999999</v>
      </c>
    </row>
    <row r="25" spans="1:9" x14ac:dyDescent="0.25">
      <c r="A25">
        <v>0.6</v>
      </c>
      <c r="B25">
        <f t="shared" si="13"/>
        <v>6</v>
      </c>
      <c r="C25">
        <v>0.3</v>
      </c>
    </row>
  </sheetData>
  <mergeCells count="6">
    <mergeCell ref="P4:P6"/>
    <mergeCell ref="Q4:Q6"/>
    <mergeCell ref="P7:P9"/>
    <mergeCell ref="Q7:Q9"/>
    <mergeCell ref="P10:P12"/>
    <mergeCell ref="Q10:Q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EE5E7-9601-43C1-A1CA-687041D5586E}">
  <dimension ref="A3:T34"/>
  <sheetViews>
    <sheetView workbookViewId="0">
      <selection activeCell="Q4" sqref="Q4:Q18"/>
    </sheetView>
  </sheetViews>
  <sheetFormatPr defaultRowHeight="20.25" x14ac:dyDescent="0.3"/>
  <cols>
    <col min="1" max="1" width="21.28515625" style="16" customWidth="1"/>
    <col min="2" max="2" width="12.42578125" style="16" customWidth="1"/>
    <col min="3" max="3" width="9.5703125" style="16" bestFit="1" customWidth="1"/>
    <col min="4" max="5" width="9.28515625" style="16" bestFit="1" customWidth="1"/>
    <col min="6" max="6" width="11.42578125" style="16" customWidth="1"/>
    <col min="7" max="7" width="12.28515625" style="16" bestFit="1" customWidth="1"/>
    <col min="8" max="9" width="12" style="16" bestFit="1" customWidth="1"/>
    <col min="10" max="10" width="15.5703125" style="16" customWidth="1"/>
    <col min="11" max="11" width="15.28515625" style="16" customWidth="1"/>
    <col min="12" max="12" width="19.7109375" style="16" customWidth="1"/>
    <col min="13" max="14" width="17.5703125" style="16" customWidth="1"/>
    <col min="15" max="15" width="18.28515625" style="16" customWidth="1"/>
    <col min="16" max="17" width="17.28515625" style="16" customWidth="1"/>
    <col min="18" max="18" width="30.5703125" style="16" customWidth="1"/>
    <col min="19" max="19" width="31.85546875" style="16" customWidth="1"/>
    <col min="20" max="20" width="26.5703125" style="16" customWidth="1"/>
    <col min="21" max="16384" width="9.140625" style="16"/>
  </cols>
  <sheetData>
    <row r="3" spans="1:20" ht="81" x14ac:dyDescent="0.3">
      <c r="A3" s="10" t="s">
        <v>0</v>
      </c>
      <c r="B3" s="10" t="s">
        <v>38</v>
      </c>
      <c r="C3" s="10" t="s">
        <v>39</v>
      </c>
      <c r="D3" s="10" t="s">
        <v>40</v>
      </c>
      <c r="E3" s="10" t="s">
        <v>41</v>
      </c>
      <c r="F3" s="10" t="s">
        <v>42</v>
      </c>
      <c r="G3" s="10" t="s">
        <v>43</v>
      </c>
      <c r="H3" s="10" t="s">
        <v>44</v>
      </c>
      <c r="I3" s="10" t="s">
        <v>45</v>
      </c>
      <c r="J3" s="10" t="s">
        <v>46</v>
      </c>
      <c r="K3" s="10" t="s">
        <v>47</v>
      </c>
      <c r="L3" s="10" t="s">
        <v>70</v>
      </c>
      <c r="M3" s="10" t="s">
        <v>71</v>
      </c>
      <c r="N3" s="10" t="s">
        <v>72</v>
      </c>
      <c r="O3" s="10" t="s">
        <v>50</v>
      </c>
      <c r="P3" s="10" t="s">
        <v>51</v>
      </c>
      <c r="Q3" s="10" t="s">
        <v>73</v>
      </c>
      <c r="R3" s="10" t="s">
        <v>52</v>
      </c>
      <c r="S3" s="10" t="s">
        <v>53</v>
      </c>
      <c r="T3" s="10" t="s">
        <v>92</v>
      </c>
    </row>
    <row r="4" spans="1:20" ht="23.25" x14ac:dyDescent="0.4">
      <c r="A4" s="11" t="s">
        <v>54</v>
      </c>
      <c r="B4" s="12">
        <v>150</v>
      </c>
      <c r="C4" s="12">
        <v>20</v>
      </c>
      <c r="D4" s="13">
        <v>2E-3</v>
      </c>
      <c r="E4" s="13">
        <v>3.0000000000000001E-3</v>
      </c>
      <c r="F4" s="13">
        <f>AVERAGE(D4:E4)</f>
        <v>2.5000000000000001E-3</v>
      </c>
      <c r="G4" s="10">
        <f>(F4*19.567+0.2216)/C4</f>
        <v>1.3525874999999998E-2</v>
      </c>
      <c r="H4" s="10">
        <f>G4/63.5</f>
        <v>2.1300590551181098E-4</v>
      </c>
      <c r="I4" s="10">
        <f>H4*B4</f>
        <v>3.1950885826771649E-2</v>
      </c>
      <c r="J4" s="10">
        <v>1.3393431496062991</v>
      </c>
      <c r="K4" s="10">
        <f>J4-I4</f>
        <v>1.3073922637795274</v>
      </c>
      <c r="L4" s="10">
        <f t="shared" ref="L4:L18" si="0">K4/O4</f>
        <v>0.90552172307766132</v>
      </c>
      <c r="M4" s="10">
        <f>K4/P4</f>
        <v>14.77959971208154</v>
      </c>
      <c r="N4" s="10">
        <f>K4/Q4</f>
        <v>34.678839888051129</v>
      </c>
      <c r="O4" s="11">
        <v>1.4438</v>
      </c>
      <c r="P4" s="18">
        <v>8.8459247154765872E-2</v>
      </c>
      <c r="Q4" s="11">
        <v>3.7699999999999997E-2</v>
      </c>
      <c r="R4" s="40">
        <f>AVERAGE(L4:L6)</f>
        <v>0.96542320656105696</v>
      </c>
      <c r="S4" s="40">
        <f>AVERAGE(M4:M6)</f>
        <v>15.757290169948694</v>
      </c>
      <c r="T4" s="40">
        <f>AVERAGE(N4:N6)</f>
        <v>37.247409733949354</v>
      </c>
    </row>
    <row r="5" spans="1:20" ht="23.25" x14ac:dyDescent="0.4">
      <c r="A5" s="11" t="s">
        <v>55</v>
      </c>
      <c r="B5" s="12">
        <v>150</v>
      </c>
      <c r="C5" s="12">
        <v>20</v>
      </c>
      <c r="D5" s="13">
        <v>1E-3</v>
      </c>
      <c r="E5" s="13">
        <v>0</v>
      </c>
      <c r="F5" s="13">
        <f t="shared" ref="F5:F18" si="1">AVERAGE(D5:E5)</f>
        <v>5.0000000000000001E-4</v>
      </c>
      <c r="G5" s="10">
        <f t="shared" ref="G5:G18" si="2">(F5*19.567+0.2216)/C5</f>
        <v>1.1569174999999999E-2</v>
      </c>
      <c r="H5" s="10">
        <f t="shared" ref="H5:H14" si="3">G5/63.5</f>
        <v>1.8219173228346456E-4</v>
      </c>
      <c r="I5" s="10">
        <f t="shared" ref="I5:I14" si="4">H5*B5</f>
        <v>2.7328759842519684E-2</v>
      </c>
      <c r="J5" s="10">
        <v>1.3393431496062991</v>
      </c>
      <c r="K5" s="10">
        <f t="shared" ref="K5:K14" si="5">J5-I5</f>
        <v>1.3120143897637795</v>
      </c>
      <c r="L5" s="10">
        <f t="shared" si="0"/>
        <v>0.90960509551010782</v>
      </c>
      <c r="M5" s="10">
        <f t="shared" ref="M5:M18" si="6">K5/P5</f>
        <v>14.846247047522361</v>
      </c>
      <c r="N5" s="10">
        <f t="shared" ref="N5:N18" si="7">K5/Q5</f>
        <v>36.243491429938658</v>
      </c>
      <c r="O5" s="11">
        <v>1.4423999999999999</v>
      </c>
      <c r="P5" s="18">
        <v>8.8373471461445002E-2</v>
      </c>
      <c r="Q5" s="11">
        <v>3.6200000000000003E-2</v>
      </c>
      <c r="R5" s="41"/>
      <c r="S5" s="41"/>
      <c r="T5" s="41"/>
    </row>
    <row r="6" spans="1:20" ht="23.25" x14ac:dyDescent="0.4">
      <c r="A6" s="11" t="s">
        <v>56</v>
      </c>
      <c r="B6" s="12">
        <v>150</v>
      </c>
      <c r="C6" s="12">
        <v>20</v>
      </c>
      <c r="D6" s="13">
        <v>3.0000000000000001E-3</v>
      </c>
      <c r="E6" s="13">
        <v>3.0000000000000001E-3</v>
      </c>
      <c r="F6" s="13">
        <f t="shared" si="1"/>
        <v>3.0000000000000001E-3</v>
      </c>
      <c r="G6" s="10">
        <f t="shared" si="2"/>
        <v>1.4015050000000001E-2</v>
      </c>
      <c r="H6" s="10">
        <f t="shared" si="3"/>
        <v>2.2070944881889766E-4</v>
      </c>
      <c r="I6" s="10">
        <f t="shared" si="4"/>
        <v>3.3106417322834647E-2</v>
      </c>
      <c r="J6" s="10">
        <v>1.3393431496062991</v>
      </c>
      <c r="K6" s="10">
        <f t="shared" si="5"/>
        <v>1.3062367322834645</v>
      </c>
      <c r="L6" s="10">
        <f t="shared" si="0"/>
        <v>1.0811428010954018</v>
      </c>
      <c r="M6" s="10">
        <f t="shared" si="6"/>
        <v>17.646023750242176</v>
      </c>
      <c r="N6" s="10">
        <f t="shared" si="7"/>
        <v>40.819897883858268</v>
      </c>
      <c r="O6" s="11">
        <v>1.2081999999999999</v>
      </c>
      <c r="P6" s="18">
        <v>7.4024423335910874E-2</v>
      </c>
      <c r="Q6" s="11">
        <v>3.2000000000000001E-2</v>
      </c>
      <c r="R6" s="42"/>
      <c r="S6" s="42"/>
      <c r="T6" s="42"/>
    </row>
    <row r="7" spans="1:20" x14ac:dyDescent="0.3">
      <c r="A7" s="11" t="s">
        <v>57</v>
      </c>
      <c r="B7" s="12">
        <v>150</v>
      </c>
      <c r="C7" s="12">
        <v>20</v>
      </c>
      <c r="D7" s="13">
        <v>1.4E-2</v>
      </c>
      <c r="E7" s="13">
        <v>1.4999999999999999E-2</v>
      </c>
      <c r="F7" s="13">
        <f t="shared" si="1"/>
        <v>1.4499999999999999E-2</v>
      </c>
      <c r="G7" s="10">
        <f t="shared" si="2"/>
        <v>2.5266074999999999E-2</v>
      </c>
      <c r="H7" s="10">
        <f t="shared" si="3"/>
        <v>3.9789094488188977E-4</v>
      </c>
      <c r="I7" s="10">
        <f t="shared" si="4"/>
        <v>5.9683641732283466E-2</v>
      </c>
      <c r="J7" s="10">
        <v>1.4576206299212597</v>
      </c>
      <c r="K7" s="10">
        <f t="shared" si="5"/>
        <v>1.3979369881889763</v>
      </c>
      <c r="L7" s="10">
        <f t="shared" si="0"/>
        <v>1.276654783734225</v>
      </c>
      <c r="M7" s="10">
        <f t="shared" si="6"/>
        <v>20.837099975886094</v>
      </c>
      <c r="N7" s="10">
        <f t="shared" si="7"/>
        <v>49.926321006749149</v>
      </c>
      <c r="O7" s="11">
        <v>1.095</v>
      </c>
      <c r="P7" s="18">
        <v>6.7088845847394815E-2</v>
      </c>
      <c r="Q7" s="11">
        <v>2.8000000000000001E-2</v>
      </c>
      <c r="R7" s="40">
        <f>AVERAGE(L7:L9)</f>
        <v>1.2262936977145282</v>
      </c>
      <c r="S7" s="40">
        <f>AVERAGE(M7:M9)</f>
        <v>20.015124452309411</v>
      </c>
      <c r="T7" s="40">
        <f t="shared" ref="T7" si="8">AVERAGE(N7:N9)</f>
        <v>47.405916231925339</v>
      </c>
    </row>
    <row r="8" spans="1:20" x14ac:dyDescent="0.3">
      <c r="A8" s="11" t="s">
        <v>58</v>
      </c>
      <c r="B8" s="20">
        <v>150</v>
      </c>
      <c r="C8" s="20">
        <v>20</v>
      </c>
      <c r="D8" s="21">
        <v>1.0999999999999999E-2</v>
      </c>
      <c r="E8" s="21">
        <v>1.2E-2</v>
      </c>
      <c r="F8" s="21">
        <f t="shared" si="1"/>
        <v>1.15E-2</v>
      </c>
      <c r="G8" s="10">
        <f t="shared" si="2"/>
        <v>2.2331024999999997E-2</v>
      </c>
      <c r="H8" s="14">
        <f t="shared" si="3"/>
        <v>3.5166968503937005E-4</v>
      </c>
      <c r="I8" s="14">
        <f>H8*B8</f>
        <v>5.2750452755905508E-2</v>
      </c>
      <c r="J8" s="10">
        <v>1.4576206299212597</v>
      </c>
      <c r="K8" s="14">
        <f t="shared" si="5"/>
        <v>1.4048701771653542</v>
      </c>
      <c r="L8" s="14">
        <f t="shared" si="0"/>
        <v>1.2377710812029552</v>
      </c>
      <c r="M8" s="14">
        <f t="shared" si="6"/>
        <v>20.202454175471065</v>
      </c>
      <c r="N8" s="10">
        <f t="shared" si="7"/>
        <v>48.780214484908136</v>
      </c>
      <c r="O8" s="19">
        <v>1.135</v>
      </c>
      <c r="P8" s="18">
        <v>6.9539579942276816E-2</v>
      </c>
      <c r="Q8" s="11">
        <v>2.8799999999999999E-2</v>
      </c>
      <c r="R8" s="41"/>
      <c r="S8" s="41"/>
      <c r="T8" s="41"/>
    </row>
    <row r="9" spans="1:20" x14ac:dyDescent="0.3">
      <c r="A9" s="11" t="s">
        <v>59</v>
      </c>
      <c r="B9" s="12">
        <v>150</v>
      </c>
      <c r="C9" s="12">
        <v>20</v>
      </c>
      <c r="D9" s="13">
        <v>7.0000000000000001E-3</v>
      </c>
      <c r="E9" s="13">
        <v>8.0000000000000002E-3</v>
      </c>
      <c r="F9" s="13">
        <f t="shared" si="1"/>
        <v>7.4999999999999997E-3</v>
      </c>
      <c r="G9" s="10">
        <f t="shared" si="2"/>
        <v>1.8417625E-2</v>
      </c>
      <c r="H9" s="10">
        <f t="shared" si="3"/>
        <v>2.9004133858267719E-4</v>
      </c>
      <c r="I9" s="10">
        <f t="shared" si="4"/>
        <v>4.3506200787401576E-2</v>
      </c>
      <c r="J9" s="10">
        <v>1.4576206299212597</v>
      </c>
      <c r="K9" s="10">
        <f t="shared" si="5"/>
        <v>1.4141144291338581</v>
      </c>
      <c r="L9" s="10">
        <f t="shared" si="0"/>
        <v>1.1644552282064049</v>
      </c>
      <c r="M9" s="10">
        <f t="shared" si="6"/>
        <v>19.005819205571072</v>
      </c>
      <c r="N9" s="10">
        <f t="shared" si="7"/>
        <v>43.511213204118711</v>
      </c>
      <c r="O9" s="11">
        <v>1.2143999999999999</v>
      </c>
      <c r="P9" s="18">
        <v>7.4404287120617585E-2</v>
      </c>
      <c r="Q9" s="11">
        <v>3.2500000000000001E-2</v>
      </c>
      <c r="R9" s="42"/>
      <c r="S9" s="42"/>
      <c r="T9" s="42"/>
    </row>
    <row r="10" spans="1:20" x14ac:dyDescent="0.3">
      <c r="A10" s="11" t="s">
        <v>60</v>
      </c>
      <c r="B10" s="12">
        <v>150</v>
      </c>
      <c r="C10" s="12">
        <v>20</v>
      </c>
      <c r="D10" s="13">
        <v>2.1000000000000001E-2</v>
      </c>
      <c r="E10" s="13">
        <v>2.1999999999999999E-2</v>
      </c>
      <c r="F10" s="13">
        <f t="shared" si="1"/>
        <v>2.1499999999999998E-2</v>
      </c>
      <c r="G10" s="10">
        <f t="shared" si="2"/>
        <v>3.2114524999999998E-2</v>
      </c>
      <c r="H10" s="10">
        <f t="shared" si="3"/>
        <v>5.0574055118110235E-4</v>
      </c>
      <c r="I10" s="10">
        <f t="shared" si="4"/>
        <v>7.5861082677165348E-2</v>
      </c>
      <c r="J10" s="10">
        <v>1.5167593700787398</v>
      </c>
      <c r="K10" s="10">
        <f t="shared" si="5"/>
        <v>1.4408982874015746</v>
      </c>
      <c r="L10" s="10">
        <f t="shared" si="0"/>
        <v>1.06198281795517</v>
      </c>
      <c r="M10" s="10">
        <f t="shared" si="6"/>
        <v>17.333301400147242</v>
      </c>
      <c r="N10" s="10">
        <f t="shared" si="7"/>
        <v>42.255081741981662</v>
      </c>
      <c r="O10" s="11">
        <v>1.3568</v>
      </c>
      <c r="P10" s="18">
        <v>8.3128900498397523E-2</v>
      </c>
      <c r="Q10" s="11">
        <v>3.4099999999999998E-2</v>
      </c>
      <c r="R10" s="40">
        <f>AVERAGE(L10:L12)</f>
        <v>1.1058663537128548</v>
      </c>
      <c r="S10" s="40">
        <f t="shared" ref="S10:T10" si="9">AVERAGE(M10:M12)</f>
        <v>18.049552679293832</v>
      </c>
      <c r="T10" s="40">
        <f t="shared" si="9"/>
        <v>42.175098523239988</v>
      </c>
    </row>
    <row r="11" spans="1:20" x14ac:dyDescent="0.3">
      <c r="A11" s="11" t="s">
        <v>61</v>
      </c>
      <c r="B11" s="12">
        <v>150</v>
      </c>
      <c r="C11" s="12">
        <v>20</v>
      </c>
      <c r="D11" s="13">
        <v>2.5999999999999999E-2</v>
      </c>
      <c r="E11" s="13">
        <v>2.3E-2</v>
      </c>
      <c r="F11" s="13">
        <f t="shared" si="1"/>
        <v>2.4500000000000001E-2</v>
      </c>
      <c r="G11" s="10">
        <f t="shared" si="2"/>
        <v>3.5049574999999999E-2</v>
      </c>
      <c r="H11" s="10">
        <f t="shared" si="3"/>
        <v>5.5196181102362208E-4</v>
      </c>
      <c r="I11" s="10">
        <f t="shared" si="4"/>
        <v>8.2794271653543305E-2</v>
      </c>
      <c r="J11" s="10">
        <v>1.5167593700787398</v>
      </c>
      <c r="K11" s="10">
        <f t="shared" si="5"/>
        <v>1.4339650984251966</v>
      </c>
      <c r="L11" s="10">
        <f t="shared" si="0"/>
        <v>1.1057719759602072</v>
      </c>
      <c r="M11" s="10">
        <f t="shared" si="6"/>
        <v>18.048012279576955</v>
      </c>
      <c r="N11" s="10">
        <f t="shared" si="7"/>
        <v>41.685031930965017</v>
      </c>
      <c r="O11" s="11">
        <v>1.2968</v>
      </c>
      <c r="P11" s="18">
        <v>7.9452799356074508E-2</v>
      </c>
      <c r="Q11" s="11">
        <v>3.44E-2</v>
      </c>
      <c r="R11" s="41"/>
      <c r="S11" s="41"/>
      <c r="T11" s="41"/>
    </row>
    <row r="12" spans="1:20" x14ac:dyDescent="0.3">
      <c r="A12" s="11" t="s">
        <v>62</v>
      </c>
      <c r="B12" s="20">
        <v>150</v>
      </c>
      <c r="C12" s="20">
        <v>20</v>
      </c>
      <c r="D12" s="21">
        <v>2.3E-2</v>
      </c>
      <c r="E12" s="21">
        <v>2.5000000000000001E-2</v>
      </c>
      <c r="F12" s="21">
        <f t="shared" si="1"/>
        <v>2.4E-2</v>
      </c>
      <c r="G12" s="10">
        <f t="shared" si="2"/>
        <v>3.4560400000000005E-2</v>
      </c>
      <c r="H12" s="14">
        <f t="shared" si="3"/>
        <v>5.4425826771653551E-4</v>
      </c>
      <c r="I12" s="14">
        <f t="shared" si="4"/>
        <v>8.1638740157480322E-2</v>
      </c>
      <c r="J12" s="10">
        <v>1.5167593700787398</v>
      </c>
      <c r="K12" s="14">
        <f t="shared" si="5"/>
        <v>1.4351206299212595</v>
      </c>
      <c r="L12" s="14">
        <f t="shared" si="0"/>
        <v>1.149844267223187</v>
      </c>
      <c r="M12" s="14">
        <f t="shared" si="6"/>
        <v>18.767344358157295</v>
      </c>
      <c r="N12" s="14">
        <f t="shared" si="7"/>
        <v>42.585181896773278</v>
      </c>
      <c r="O12" s="19">
        <v>1.2481</v>
      </c>
      <c r="P12" s="18">
        <v>7.6469030595555681E-2</v>
      </c>
      <c r="Q12" s="11">
        <v>3.3700000000000001E-2</v>
      </c>
      <c r="R12" s="42"/>
      <c r="S12" s="42"/>
      <c r="T12" s="42"/>
    </row>
    <row r="13" spans="1:20" ht="40.5" x14ac:dyDescent="0.3">
      <c r="A13" s="22" t="s">
        <v>80</v>
      </c>
      <c r="B13" s="12">
        <v>150</v>
      </c>
      <c r="C13" s="12">
        <v>20</v>
      </c>
      <c r="D13" s="13">
        <v>4.0000000000000001E-3</v>
      </c>
      <c r="E13" s="13">
        <v>6.0000000000000001E-3</v>
      </c>
      <c r="F13" s="13">
        <f t="shared" si="1"/>
        <v>5.0000000000000001E-3</v>
      </c>
      <c r="G13" s="10">
        <f t="shared" si="2"/>
        <v>1.597175E-2</v>
      </c>
      <c r="H13" s="10">
        <f t="shared" si="3"/>
        <v>2.5152362204724409E-4</v>
      </c>
      <c r="I13" s="10">
        <f t="shared" si="4"/>
        <v>3.7728543307086616E-2</v>
      </c>
      <c r="J13" s="10">
        <v>1.4451094488188976</v>
      </c>
      <c r="K13" s="14">
        <f t="shared" si="5"/>
        <v>1.4073809055118109</v>
      </c>
      <c r="L13" s="10">
        <f t="shared" si="0"/>
        <v>1.3347694475643124</v>
      </c>
      <c r="M13" s="10">
        <f t="shared" si="6"/>
        <v>21.785626606359003</v>
      </c>
      <c r="N13" s="10">
        <f t="shared" si="7"/>
        <v>46.756840714678106</v>
      </c>
      <c r="O13" s="11">
        <v>1.0544</v>
      </c>
      <c r="P13" s="18">
        <v>6.460135074108958E-2</v>
      </c>
      <c r="Q13" s="11">
        <v>3.0099999999999998E-2</v>
      </c>
      <c r="R13" s="40">
        <f>AVERAGE(L13:L15)</f>
        <v>1.2720443929090566</v>
      </c>
      <c r="S13" s="40">
        <f t="shared" ref="S13:T13" si="10">AVERAGE(M13:M15)</f>
        <v>20.761850835886836</v>
      </c>
      <c r="T13" s="40">
        <f t="shared" si="10"/>
        <v>44.511146799443999</v>
      </c>
    </row>
    <row r="14" spans="1:20" ht="40.5" x14ac:dyDescent="0.3">
      <c r="A14" s="22" t="s">
        <v>75</v>
      </c>
      <c r="B14" s="12">
        <v>150</v>
      </c>
      <c r="C14" s="12">
        <v>20</v>
      </c>
      <c r="D14" s="13">
        <v>3.0000000000000001E-3</v>
      </c>
      <c r="E14" s="13">
        <v>5.0000000000000001E-3</v>
      </c>
      <c r="F14" s="13">
        <f t="shared" si="1"/>
        <v>4.0000000000000001E-3</v>
      </c>
      <c r="G14" s="10">
        <f t="shared" si="2"/>
        <v>1.49934E-2</v>
      </c>
      <c r="H14" s="10">
        <f t="shared" si="3"/>
        <v>2.3611653543307087E-4</v>
      </c>
      <c r="I14" s="10">
        <f t="shared" si="4"/>
        <v>3.5417480314960628E-2</v>
      </c>
      <c r="J14" s="10">
        <v>1.4451094488188976</v>
      </c>
      <c r="K14" s="10">
        <f t="shared" si="5"/>
        <v>1.4096919685039369</v>
      </c>
      <c r="L14" s="10">
        <f t="shared" si="0"/>
        <v>1.3023761719363791</v>
      </c>
      <c r="M14" s="10">
        <f t="shared" si="6"/>
        <v>21.256915218280106</v>
      </c>
      <c r="N14" s="10">
        <f t="shared" si="7"/>
        <v>41.339940425335392</v>
      </c>
      <c r="O14" s="11">
        <v>1.0824</v>
      </c>
      <c r="P14" s="18">
        <v>6.6316864607506992E-2</v>
      </c>
      <c r="Q14" s="11">
        <v>3.4099999999999998E-2</v>
      </c>
      <c r="R14" s="41"/>
      <c r="S14" s="41"/>
      <c r="T14" s="41"/>
    </row>
    <row r="15" spans="1:20" ht="40.5" x14ac:dyDescent="0.3">
      <c r="A15" s="22" t="s">
        <v>76</v>
      </c>
      <c r="B15" s="12">
        <v>150</v>
      </c>
      <c r="C15" s="12">
        <v>20</v>
      </c>
      <c r="D15" s="13">
        <v>5.0000000000000001E-3</v>
      </c>
      <c r="E15" s="13">
        <v>4.0000000000000001E-3</v>
      </c>
      <c r="F15" s="13">
        <f t="shared" si="1"/>
        <v>4.5000000000000005E-3</v>
      </c>
      <c r="G15" s="10">
        <f t="shared" si="2"/>
        <v>1.5482574999999998E-2</v>
      </c>
      <c r="H15" s="10">
        <f>G15/63.5</f>
        <v>2.4382007874015747E-4</v>
      </c>
      <c r="I15" s="10">
        <f>H15*B15</f>
        <v>3.6573011811023619E-2</v>
      </c>
      <c r="J15" s="10">
        <v>1.4451094488188976</v>
      </c>
      <c r="K15" s="10">
        <f>J15-I15</f>
        <v>1.4085364370078739</v>
      </c>
      <c r="L15" s="10">
        <f t="shared" si="0"/>
        <v>1.1789875592264785</v>
      </c>
      <c r="M15" s="10">
        <f t="shared" si="6"/>
        <v>19.243010683021396</v>
      </c>
      <c r="N15" s="10">
        <f t="shared" si="7"/>
        <v>45.436659258318514</v>
      </c>
      <c r="O15" s="11">
        <v>1.1947000000000001</v>
      </c>
      <c r="P15" s="18">
        <v>7.3197300578888208E-2</v>
      </c>
      <c r="Q15" s="11">
        <v>3.1E-2</v>
      </c>
      <c r="R15" s="42"/>
      <c r="S15" s="42"/>
      <c r="T15" s="42"/>
    </row>
    <row r="16" spans="1:20" ht="40.5" x14ac:dyDescent="0.3">
      <c r="A16" s="22" t="s">
        <v>77</v>
      </c>
      <c r="B16" s="12">
        <v>150</v>
      </c>
      <c r="C16" s="12">
        <v>20</v>
      </c>
      <c r="D16" s="13">
        <v>4.0000000000000001E-3</v>
      </c>
      <c r="E16" s="13">
        <v>1E-3</v>
      </c>
      <c r="F16" s="13">
        <f t="shared" si="1"/>
        <v>2.5000000000000001E-3</v>
      </c>
      <c r="G16" s="10">
        <f t="shared" si="2"/>
        <v>1.3525874999999998E-2</v>
      </c>
      <c r="H16" s="10">
        <f t="shared" ref="H16:H18" si="11">G16/63.5</f>
        <v>2.1300590551181098E-4</v>
      </c>
      <c r="I16" s="10">
        <f t="shared" ref="I16:I18" si="12">H16*B16</f>
        <v>3.1950885826771649E-2</v>
      </c>
      <c r="J16" s="10">
        <v>1.4451094488188976</v>
      </c>
      <c r="K16" s="10">
        <f t="shared" ref="K16:K18" si="13">J16-I16</f>
        <v>1.4131585629921259</v>
      </c>
      <c r="L16" s="10">
        <f t="shared" si="0"/>
        <v>1.2273393807470263</v>
      </c>
      <c r="M16" s="10">
        <f t="shared" si="6"/>
        <v>20.032191714476799</v>
      </c>
      <c r="N16" s="10">
        <f t="shared" si="7"/>
        <v>56.30113796781378</v>
      </c>
      <c r="O16" s="11">
        <v>1.1514</v>
      </c>
      <c r="P16" s="18">
        <v>7.0544380921178443E-2</v>
      </c>
      <c r="Q16" s="11">
        <v>2.5100000000000001E-2</v>
      </c>
      <c r="R16" s="40">
        <f>AVERAGE(L16:L18)</f>
        <v>1.1593794198886116</v>
      </c>
      <c r="S16" s="40">
        <f t="shared" ref="S16:T16" si="14">AVERAGE(M16:M18)</f>
        <v>18.922973688737674</v>
      </c>
      <c r="T16" s="40">
        <f t="shared" si="14"/>
        <v>50.98172287449146</v>
      </c>
    </row>
    <row r="17" spans="1:20" ht="40.5" x14ac:dyDescent="0.3">
      <c r="A17" s="22" t="s">
        <v>78</v>
      </c>
      <c r="B17" s="12">
        <v>150</v>
      </c>
      <c r="C17" s="12">
        <v>20</v>
      </c>
      <c r="D17" s="13">
        <v>3.0000000000000001E-3</v>
      </c>
      <c r="E17" s="13">
        <v>1E-3</v>
      </c>
      <c r="F17" s="13">
        <f t="shared" si="1"/>
        <v>2E-3</v>
      </c>
      <c r="G17" s="10">
        <f t="shared" si="2"/>
        <v>1.3036700000000002E-2</v>
      </c>
      <c r="H17" s="10">
        <f t="shared" si="11"/>
        <v>2.0530236220472445E-4</v>
      </c>
      <c r="I17" s="10">
        <f t="shared" si="12"/>
        <v>3.0795354330708666E-2</v>
      </c>
      <c r="J17" s="10">
        <v>1.4451094488188976</v>
      </c>
      <c r="K17" s="10">
        <f t="shared" si="13"/>
        <v>1.4143140944881889</v>
      </c>
      <c r="L17" s="10">
        <f t="shared" si="0"/>
        <v>1.0548285310920262</v>
      </c>
      <c r="M17" s="10">
        <f t="shared" si="6"/>
        <v>17.216531704437141</v>
      </c>
      <c r="N17" s="10">
        <f t="shared" si="7"/>
        <v>51.058270559140396</v>
      </c>
      <c r="O17" s="11">
        <v>1.3408</v>
      </c>
      <c r="P17" s="18">
        <v>8.2148606860444714E-2</v>
      </c>
      <c r="Q17" s="11">
        <v>2.7699999999999999E-2</v>
      </c>
      <c r="R17" s="41"/>
      <c r="S17" s="41"/>
      <c r="T17" s="41"/>
    </row>
    <row r="18" spans="1:20" ht="40.5" x14ac:dyDescent="0.3">
      <c r="A18" s="22" t="s">
        <v>79</v>
      </c>
      <c r="B18" s="12">
        <v>150</v>
      </c>
      <c r="C18" s="12">
        <v>20</v>
      </c>
      <c r="D18" s="13">
        <v>2E-3</v>
      </c>
      <c r="E18" s="13">
        <v>3.0000000000000001E-3</v>
      </c>
      <c r="F18" s="13">
        <f t="shared" si="1"/>
        <v>2.5000000000000001E-3</v>
      </c>
      <c r="G18" s="10">
        <f t="shared" si="2"/>
        <v>1.3525874999999998E-2</v>
      </c>
      <c r="H18" s="10">
        <f t="shared" si="11"/>
        <v>2.1300590551181098E-4</v>
      </c>
      <c r="I18" s="10">
        <f t="shared" si="12"/>
        <v>3.1950885826771649E-2</v>
      </c>
      <c r="J18" s="10">
        <v>1.4451094488188976</v>
      </c>
      <c r="K18" s="10">
        <f t="shared" si="13"/>
        <v>1.4131585629921259</v>
      </c>
      <c r="L18" s="10">
        <f t="shared" si="0"/>
        <v>1.1959703478267822</v>
      </c>
      <c r="M18" s="10">
        <f t="shared" si="6"/>
        <v>19.520197647299078</v>
      </c>
      <c r="N18" s="10">
        <f t="shared" si="7"/>
        <v>45.58576009652019</v>
      </c>
      <c r="O18" s="11">
        <v>1.1816</v>
      </c>
      <c r="P18" s="18">
        <v>7.2394685162814346E-2</v>
      </c>
      <c r="Q18" s="11">
        <v>3.1E-2</v>
      </c>
      <c r="R18" s="42"/>
      <c r="S18" s="42"/>
      <c r="T18" s="42"/>
    </row>
    <row r="24" spans="1:20" x14ac:dyDescent="0.3">
      <c r="A24" s="23" t="s">
        <v>81</v>
      </c>
    </row>
    <row r="25" spans="1:20" ht="40.5" x14ac:dyDescent="0.3">
      <c r="A25" s="16" t="s">
        <v>0</v>
      </c>
      <c r="B25" s="16" t="s">
        <v>38</v>
      </c>
      <c r="C25" s="16" t="s">
        <v>39</v>
      </c>
      <c r="D25" s="17" t="s">
        <v>40</v>
      </c>
      <c r="E25" s="17" t="s">
        <v>41</v>
      </c>
      <c r="F25" s="17" t="s">
        <v>42</v>
      </c>
      <c r="G25" s="16" t="s">
        <v>43</v>
      </c>
      <c r="H25" s="17" t="s">
        <v>44</v>
      </c>
      <c r="I25" s="17" t="s">
        <v>45</v>
      </c>
    </row>
    <row r="26" spans="1:20" ht="23.25" x14ac:dyDescent="0.4">
      <c r="A26" s="11" t="s">
        <v>82</v>
      </c>
      <c r="B26" s="16">
        <v>150</v>
      </c>
      <c r="C26" s="16">
        <v>5</v>
      </c>
      <c r="D26" s="16">
        <v>0.14499999999999999</v>
      </c>
      <c r="E26" s="16">
        <v>0.14499999999999999</v>
      </c>
      <c r="F26" s="16">
        <f>AVERAGE(D26:E26)</f>
        <v>0.14499999999999999</v>
      </c>
      <c r="G26" s="16">
        <f>(F26*19.567+0.2216)/C26</f>
        <v>0.61176300000000006</v>
      </c>
      <c r="H26" s="16">
        <f>G26/63.5</f>
        <v>9.6340629921259843E-3</v>
      </c>
      <c r="I26" s="16">
        <f>H26*B26</f>
        <v>1.4451094488188976</v>
      </c>
    </row>
    <row r="28" spans="1:20" x14ac:dyDescent="0.3">
      <c r="A28" s="24" t="s">
        <v>83</v>
      </c>
      <c r="B28" s="16" t="s">
        <v>84</v>
      </c>
      <c r="C28" s="16" t="s">
        <v>85</v>
      </c>
    </row>
    <row r="29" spans="1:20" ht="40.5" x14ac:dyDescent="0.3">
      <c r="A29" s="24" t="s">
        <v>86</v>
      </c>
      <c r="B29" s="17" t="s">
        <v>68</v>
      </c>
      <c r="C29" s="16" t="s">
        <v>87</v>
      </c>
    </row>
    <row r="30" spans="1:20" x14ac:dyDescent="0.3">
      <c r="A30" s="16">
        <v>0.1</v>
      </c>
      <c r="B30" s="16">
        <f>A30*10</f>
        <v>1</v>
      </c>
      <c r="C30" s="16">
        <v>4.1000000000000002E-2</v>
      </c>
    </row>
    <row r="31" spans="1:20" x14ac:dyDescent="0.3">
      <c r="A31" s="16">
        <v>0.2</v>
      </c>
      <c r="B31" s="16">
        <f t="shared" ref="B31:B34" si="15">A31*10</f>
        <v>2</v>
      </c>
      <c r="C31" s="16">
        <v>0.09</v>
      </c>
    </row>
    <row r="32" spans="1:20" x14ac:dyDescent="0.3">
      <c r="A32" s="16">
        <v>0.3</v>
      </c>
      <c r="B32" s="16">
        <f t="shared" si="15"/>
        <v>3</v>
      </c>
      <c r="C32" s="16">
        <v>0.14099999999999999</v>
      </c>
    </row>
    <row r="33" spans="1:3" x14ac:dyDescent="0.3">
      <c r="A33" s="16">
        <v>0.4</v>
      </c>
      <c r="B33" s="16">
        <f t="shared" si="15"/>
        <v>4</v>
      </c>
      <c r="C33" s="16">
        <v>0.193</v>
      </c>
    </row>
    <row r="34" spans="1:3" x14ac:dyDescent="0.3">
      <c r="A34" s="16">
        <v>0.5</v>
      </c>
      <c r="B34" s="16">
        <f t="shared" si="15"/>
        <v>5</v>
      </c>
      <c r="C34" s="16">
        <v>0.245</v>
      </c>
    </row>
  </sheetData>
  <mergeCells count="15">
    <mergeCell ref="R16:R18"/>
    <mergeCell ref="S16:S18"/>
    <mergeCell ref="T16:T18"/>
    <mergeCell ref="R10:R12"/>
    <mergeCell ref="S10:S12"/>
    <mergeCell ref="T10:T12"/>
    <mergeCell ref="R13:R15"/>
    <mergeCell ref="S13:S15"/>
    <mergeCell ref="T13:T15"/>
    <mergeCell ref="R4:R6"/>
    <mergeCell ref="S4:S6"/>
    <mergeCell ref="T4:T6"/>
    <mergeCell ref="R7:R9"/>
    <mergeCell ref="S7:S9"/>
    <mergeCell ref="T7:T9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2DB4-A8F2-4F05-AE7A-481547764AD6}">
  <dimension ref="A2:R28"/>
  <sheetViews>
    <sheetView workbookViewId="0">
      <selection activeCell="K15" sqref="K15:L17"/>
    </sheetView>
  </sheetViews>
  <sheetFormatPr defaultRowHeight="15" x14ac:dyDescent="0.25"/>
  <cols>
    <col min="1" max="1" width="21.28515625" customWidth="1"/>
    <col min="2" max="2" width="12.42578125" customWidth="1"/>
    <col min="3" max="3" width="9.5703125" bestFit="1" customWidth="1"/>
    <col min="4" max="5" width="9.28515625" bestFit="1" customWidth="1"/>
    <col min="6" max="6" width="11.42578125" customWidth="1"/>
    <col min="7" max="7" width="12.28515625" bestFit="1" customWidth="1"/>
    <col min="8" max="9" width="12" bestFit="1" customWidth="1"/>
    <col min="10" max="10" width="19.7109375" customWidth="1"/>
    <col min="11" max="12" width="17.5703125" customWidth="1"/>
    <col min="13" max="13" width="18.28515625" customWidth="1"/>
    <col min="14" max="15" width="17.28515625" customWidth="1"/>
    <col min="16" max="16" width="30.5703125" customWidth="1"/>
    <col min="17" max="17" width="31.85546875" customWidth="1"/>
    <col min="18" max="18" width="26.5703125" customWidth="1"/>
  </cols>
  <sheetData>
    <row r="2" spans="1:18" ht="60.75" x14ac:dyDescent="0.3">
      <c r="A2" s="10" t="s">
        <v>0</v>
      </c>
      <c r="B2" s="10" t="s">
        <v>38</v>
      </c>
      <c r="C2" s="10" t="s">
        <v>39</v>
      </c>
      <c r="D2" s="10" t="s">
        <v>40</v>
      </c>
      <c r="E2" s="10" t="s">
        <v>41</v>
      </c>
      <c r="F2" s="10" t="s">
        <v>42</v>
      </c>
      <c r="G2" s="10" t="s">
        <v>43</v>
      </c>
      <c r="H2" s="10" t="s">
        <v>44</v>
      </c>
      <c r="I2" s="10" t="s">
        <v>45</v>
      </c>
      <c r="J2" s="10" t="s">
        <v>70</v>
      </c>
      <c r="K2" s="10" t="s">
        <v>71</v>
      </c>
      <c r="L2" s="10" t="s">
        <v>72</v>
      </c>
      <c r="M2" s="10" t="s">
        <v>50</v>
      </c>
      <c r="N2" s="10" t="s">
        <v>51</v>
      </c>
      <c r="O2" s="10" t="s">
        <v>73</v>
      </c>
      <c r="P2" s="10" t="s">
        <v>52</v>
      </c>
      <c r="Q2" s="10" t="s">
        <v>53</v>
      </c>
      <c r="R2" s="10" t="s">
        <v>74</v>
      </c>
    </row>
    <row r="3" spans="1:18" ht="23.25" x14ac:dyDescent="0.4">
      <c r="A3" s="11" t="s">
        <v>54</v>
      </c>
      <c r="B3" s="12">
        <v>20</v>
      </c>
      <c r="C3" s="12">
        <v>5</v>
      </c>
      <c r="D3" s="13">
        <v>0.224</v>
      </c>
      <c r="E3" s="13">
        <v>0.219</v>
      </c>
      <c r="F3" s="13">
        <f>AVERAGE(D3:E3)</f>
        <v>0.2215</v>
      </c>
      <c r="G3" s="10">
        <f>(F3*99.764-0.292)/C3</f>
        <v>4.3611451999999993</v>
      </c>
      <c r="H3" s="10">
        <f>G3/63.5</f>
        <v>6.8679451968503932E-2</v>
      </c>
      <c r="I3" s="10">
        <f>H3*B3</f>
        <v>1.3735890393700787</v>
      </c>
      <c r="J3" s="10">
        <f>I3/M3</f>
        <v>0.95137071572937992</v>
      </c>
      <c r="K3" s="10">
        <f>I3/N3</f>
        <v>15.527930471382884</v>
      </c>
      <c r="L3" s="10">
        <f>I3/O3</f>
        <v>36.434722529710314</v>
      </c>
      <c r="M3" s="11">
        <v>1.4438</v>
      </c>
      <c r="N3" s="18">
        <v>8.8459247154765872E-2</v>
      </c>
      <c r="O3" s="11">
        <v>3.7699999999999997E-2</v>
      </c>
      <c r="P3" s="40">
        <f>AVERAGE(J3:J5)</f>
        <v>1.0037964807757305</v>
      </c>
      <c r="Q3" s="40">
        <f>AVERAGE(K3:K5)</f>
        <v>16.383604943057865</v>
      </c>
      <c r="R3" s="40">
        <f>AVERAGE(L3:L5)</f>
        <v>38.717546254991234</v>
      </c>
    </row>
    <row r="4" spans="1:18" ht="23.25" x14ac:dyDescent="0.4">
      <c r="A4" s="11" t="s">
        <v>55</v>
      </c>
      <c r="B4" s="12">
        <v>20</v>
      </c>
      <c r="C4" s="12">
        <v>5</v>
      </c>
      <c r="D4" s="13">
        <v>0.219</v>
      </c>
      <c r="E4" s="13">
        <v>0.21299999999999999</v>
      </c>
      <c r="F4" s="13">
        <f t="shared" ref="F4:F17" si="0">AVERAGE(D4:E4)</f>
        <v>0.216</v>
      </c>
      <c r="G4" s="10">
        <f t="shared" ref="G4:G17" si="1">(F4*99.764-0.292)/C4</f>
        <v>4.2514047999999995</v>
      </c>
      <c r="H4" s="10">
        <f t="shared" ref="H4:H13" si="2">G4/63.5</f>
        <v>6.695125669291338E-2</v>
      </c>
      <c r="I4" s="10">
        <f t="shared" ref="I4:I13" si="3">H4*B4</f>
        <v>1.3390251338582675</v>
      </c>
      <c r="J4" s="10">
        <f t="shared" ref="J4:J17" si="4">I4/M4</f>
        <v>0.92833134626890434</v>
      </c>
      <c r="K4" s="10">
        <f t="shared" ref="K4:K17" si="5">I4/N4</f>
        <v>15.151890173766102</v>
      </c>
      <c r="L4" s="10">
        <f t="shared" ref="L4:L17" si="6">I4/O4</f>
        <v>36.989644581720093</v>
      </c>
      <c r="M4" s="11">
        <v>1.4423999999999999</v>
      </c>
      <c r="N4" s="18">
        <v>8.8373471461445002E-2</v>
      </c>
      <c r="O4" s="11">
        <v>3.6200000000000003E-2</v>
      </c>
      <c r="P4" s="41"/>
      <c r="Q4" s="41"/>
      <c r="R4" s="41"/>
    </row>
    <row r="5" spans="1:18" ht="23.25" x14ac:dyDescent="0.4">
      <c r="A5" s="11" t="s">
        <v>56</v>
      </c>
      <c r="B5" s="12">
        <v>20</v>
      </c>
      <c r="C5" s="12">
        <v>5</v>
      </c>
      <c r="D5" s="13">
        <v>0.221</v>
      </c>
      <c r="E5" s="13">
        <v>0.22</v>
      </c>
      <c r="F5" s="13">
        <f t="shared" si="0"/>
        <v>0.2205</v>
      </c>
      <c r="G5" s="10">
        <f t="shared" si="1"/>
        <v>4.3411923999999988</v>
      </c>
      <c r="H5" s="10">
        <f t="shared" si="2"/>
        <v>6.8365234645669279E-2</v>
      </c>
      <c r="I5" s="10">
        <f t="shared" si="3"/>
        <v>1.3673046929133856</v>
      </c>
      <c r="J5" s="10">
        <f t="shared" si="4"/>
        <v>1.1316873803289071</v>
      </c>
      <c r="K5" s="10">
        <f t="shared" si="5"/>
        <v>18.470994184024612</v>
      </c>
      <c r="L5" s="10">
        <f t="shared" si="6"/>
        <v>42.728271653543302</v>
      </c>
      <c r="M5" s="11">
        <v>1.2081999999999999</v>
      </c>
      <c r="N5" s="18">
        <v>7.4024423335910874E-2</v>
      </c>
      <c r="O5" s="11">
        <v>3.2000000000000001E-2</v>
      </c>
      <c r="P5" s="42"/>
      <c r="Q5" s="42"/>
      <c r="R5" s="42"/>
    </row>
    <row r="6" spans="1:18" ht="20.25" x14ac:dyDescent="0.3">
      <c r="A6" s="11" t="s">
        <v>57</v>
      </c>
      <c r="B6" s="12">
        <v>20</v>
      </c>
      <c r="C6" s="12">
        <v>5</v>
      </c>
      <c r="D6" s="13">
        <v>0.22500000000000001</v>
      </c>
      <c r="E6" s="13">
        <v>0.221</v>
      </c>
      <c r="F6" s="13">
        <f t="shared" si="0"/>
        <v>0.223</v>
      </c>
      <c r="G6" s="10">
        <f t="shared" si="1"/>
        <v>4.391074399999999</v>
      </c>
      <c r="H6" s="10">
        <f t="shared" si="2"/>
        <v>6.9150777952755885E-2</v>
      </c>
      <c r="I6" s="10">
        <f t="shared" si="3"/>
        <v>1.3830155590551176</v>
      </c>
      <c r="J6" s="10">
        <f t="shared" si="4"/>
        <v>1.2630279078128928</v>
      </c>
      <c r="K6" s="10">
        <f t="shared" si="5"/>
        <v>20.614687010729412</v>
      </c>
      <c r="L6" s="10">
        <f t="shared" si="6"/>
        <v>49.393412823397057</v>
      </c>
      <c r="M6" s="11">
        <v>1.095</v>
      </c>
      <c r="N6" s="18">
        <v>6.7088845847394815E-2</v>
      </c>
      <c r="O6" s="11">
        <v>2.8000000000000001E-2</v>
      </c>
      <c r="P6" s="40">
        <f>AVERAGE(J6:J8)</f>
        <v>1.1990345887245828</v>
      </c>
      <c r="Q6" s="40">
        <f>AVERAGE(K6:K8)</f>
        <v>19.570211084565887</v>
      </c>
      <c r="R6" s="40">
        <f t="shared" ref="R6" si="7">AVERAGE(L6:L8)</f>
        <v>46.366323672361453</v>
      </c>
    </row>
    <row r="7" spans="1:18" ht="20.25" x14ac:dyDescent="0.3">
      <c r="A7" s="11" t="s">
        <v>58</v>
      </c>
      <c r="B7" s="12">
        <v>20</v>
      </c>
      <c r="C7" s="12">
        <v>5</v>
      </c>
      <c r="D7" s="21">
        <v>0.222</v>
      </c>
      <c r="E7" s="21">
        <v>0.224</v>
      </c>
      <c r="F7" s="21">
        <f t="shared" si="0"/>
        <v>0.223</v>
      </c>
      <c r="G7" s="10">
        <f t="shared" si="1"/>
        <v>4.391074399999999</v>
      </c>
      <c r="H7" s="14">
        <f t="shared" si="2"/>
        <v>6.9150777952755885E-2</v>
      </c>
      <c r="I7" s="14">
        <f>H7*B7</f>
        <v>1.3830155590551176</v>
      </c>
      <c r="J7" s="10">
        <f t="shared" si="4"/>
        <v>1.2185159110617776</v>
      </c>
      <c r="K7" s="10">
        <f t="shared" si="5"/>
        <v>19.888178217399741</v>
      </c>
      <c r="L7" s="10">
        <f t="shared" si="6"/>
        <v>48.0213735783027</v>
      </c>
      <c r="M7" s="19">
        <v>1.135</v>
      </c>
      <c r="N7" s="18">
        <v>6.9539579942276816E-2</v>
      </c>
      <c r="O7" s="11">
        <v>2.8799999999999999E-2</v>
      </c>
      <c r="P7" s="41"/>
      <c r="Q7" s="41"/>
      <c r="R7" s="41"/>
    </row>
    <row r="8" spans="1:18" ht="20.25" x14ac:dyDescent="0.3">
      <c r="A8" s="11" t="s">
        <v>59</v>
      </c>
      <c r="B8" s="12">
        <v>20</v>
      </c>
      <c r="C8" s="12">
        <v>5</v>
      </c>
      <c r="D8" s="13">
        <v>0.22</v>
      </c>
      <c r="E8" s="13">
        <v>0.217</v>
      </c>
      <c r="F8" s="13">
        <f t="shared" si="0"/>
        <v>0.2185</v>
      </c>
      <c r="G8" s="10">
        <f t="shared" si="1"/>
        <v>4.3012867999999997</v>
      </c>
      <c r="H8" s="10">
        <f t="shared" si="2"/>
        <v>6.77368E-2</v>
      </c>
      <c r="I8" s="10">
        <f t="shared" si="3"/>
        <v>1.3547359999999999</v>
      </c>
      <c r="J8" s="10">
        <f t="shared" si="4"/>
        <v>1.1155599472990778</v>
      </c>
      <c r="K8" s="10">
        <f t="shared" si="5"/>
        <v>18.207768025568512</v>
      </c>
      <c r="L8" s="10">
        <f t="shared" si="6"/>
        <v>41.684184615384609</v>
      </c>
      <c r="M8" s="11">
        <v>1.2143999999999999</v>
      </c>
      <c r="N8" s="18">
        <v>7.4404287120617585E-2</v>
      </c>
      <c r="O8" s="11">
        <v>3.2500000000000001E-2</v>
      </c>
      <c r="P8" s="42"/>
      <c r="Q8" s="42"/>
      <c r="R8" s="42"/>
    </row>
    <row r="9" spans="1:18" ht="20.25" x14ac:dyDescent="0.3">
      <c r="A9" s="11" t="s">
        <v>60</v>
      </c>
      <c r="B9" s="12">
        <v>20</v>
      </c>
      <c r="C9" s="12">
        <v>5</v>
      </c>
      <c r="D9" s="13">
        <v>0.23100000000000001</v>
      </c>
      <c r="E9" s="13">
        <v>0.22800000000000001</v>
      </c>
      <c r="F9" s="13">
        <f t="shared" si="0"/>
        <v>0.22950000000000001</v>
      </c>
      <c r="G9" s="10">
        <f t="shared" si="1"/>
        <v>4.5207676000000001</v>
      </c>
      <c r="H9" s="10">
        <f t="shared" si="2"/>
        <v>7.1193190551181104E-2</v>
      </c>
      <c r="I9" s="10">
        <f t="shared" si="3"/>
        <v>1.4238638110236221</v>
      </c>
      <c r="J9" s="10">
        <f t="shared" si="4"/>
        <v>1.049427926756797</v>
      </c>
      <c r="K9" s="10">
        <f t="shared" si="5"/>
        <v>17.128384983884995</v>
      </c>
      <c r="L9" s="10">
        <f t="shared" si="6"/>
        <v>41.755536980164877</v>
      </c>
      <c r="M9" s="11">
        <v>1.3568</v>
      </c>
      <c r="N9" s="18">
        <v>8.3128900498397523E-2</v>
      </c>
      <c r="O9" s="11">
        <v>3.4099999999999998E-2</v>
      </c>
      <c r="P9" s="40">
        <f>AVERAGE(J9:J11)</f>
        <v>1.0805121351627536</v>
      </c>
      <c r="Q9" s="40">
        <f t="shared" ref="Q9:R9" si="8">AVERAGE(K9:K11)</f>
        <v>17.635730247834626</v>
      </c>
      <c r="R9" s="40">
        <f t="shared" si="8"/>
        <v>41.216431542033291</v>
      </c>
    </row>
    <row r="10" spans="1:18" ht="20.25" x14ac:dyDescent="0.3">
      <c r="A10" s="11" t="s">
        <v>61</v>
      </c>
      <c r="B10" s="12">
        <v>20</v>
      </c>
      <c r="C10" s="12">
        <v>5</v>
      </c>
      <c r="D10" s="13">
        <v>0.22500000000000001</v>
      </c>
      <c r="E10" s="13">
        <v>0.222</v>
      </c>
      <c r="F10" s="13">
        <f t="shared" si="0"/>
        <v>0.2235</v>
      </c>
      <c r="G10" s="10">
        <f t="shared" si="1"/>
        <v>4.4010507999999993</v>
      </c>
      <c r="H10" s="10">
        <f t="shared" si="2"/>
        <v>6.9307886614173211E-2</v>
      </c>
      <c r="I10" s="10">
        <f t="shared" si="3"/>
        <v>1.3861577322834642</v>
      </c>
      <c r="J10" s="10">
        <f t="shared" si="4"/>
        <v>1.0689063327293833</v>
      </c>
      <c r="K10" s="10">
        <f t="shared" si="5"/>
        <v>17.446304516865162</v>
      </c>
      <c r="L10" s="10">
        <f t="shared" si="6"/>
        <v>40.29528291521698</v>
      </c>
      <c r="M10" s="11">
        <v>1.2968</v>
      </c>
      <c r="N10" s="18">
        <v>7.9452799356074508E-2</v>
      </c>
      <c r="O10" s="11">
        <v>3.44E-2</v>
      </c>
      <c r="P10" s="41"/>
      <c r="Q10" s="41"/>
      <c r="R10" s="41"/>
    </row>
    <row r="11" spans="1:18" ht="20.25" x14ac:dyDescent="0.3">
      <c r="A11" s="11" t="s">
        <v>62</v>
      </c>
      <c r="B11" s="12">
        <v>20</v>
      </c>
      <c r="C11" s="12">
        <v>5</v>
      </c>
      <c r="D11" s="21">
        <v>0.22800000000000001</v>
      </c>
      <c r="E11" s="21">
        <v>0.224</v>
      </c>
      <c r="F11" s="21">
        <f t="shared" si="0"/>
        <v>0.22600000000000001</v>
      </c>
      <c r="G11" s="10">
        <f t="shared" si="1"/>
        <v>4.4509327999999995</v>
      </c>
      <c r="H11" s="14">
        <f t="shared" si="2"/>
        <v>7.0093429921259831E-2</v>
      </c>
      <c r="I11" s="14">
        <f t="shared" si="3"/>
        <v>1.4018685984251966</v>
      </c>
      <c r="J11" s="10">
        <f t="shared" si="4"/>
        <v>1.1232021460020805</v>
      </c>
      <c r="K11" s="10">
        <f t="shared" si="5"/>
        <v>18.332501242753718</v>
      </c>
      <c r="L11" s="10">
        <f t="shared" si="6"/>
        <v>41.598474730718003</v>
      </c>
      <c r="M11" s="19">
        <v>1.2481</v>
      </c>
      <c r="N11" s="18">
        <v>7.6469030595555681E-2</v>
      </c>
      <c r="O11" s="11">
        <v>3.3700000000000001E-2</v>
      </c>
      <c r="P11" s="42"/>
      <c r="Q11" s="42"/>
      <c r="R11" s="42"/>
    </row>
    <row r="12" spans="1:18" ht="40.5" x14ac:dyDescent="0.3">
      <c r="A12" s="22" t="s">
        <v>80</v>
      </c>
      <c r="B12" s="12">
        <v>20</v>
      </c>
      <c r="C12" s="12">
        <v>5</v>
      </c>
      <c r="D12" s="13">
        <v>0.22600000000000001</v>
      </c>
      <c r="E12" s="13">
        <v>0.23100000000000001</v>
      </c>
      <c r="F12" s="13">
        <f t="shared" si="0"/>
        <v>0.22850000000000001</v>
      </c>
      <c r="G12" s="10">
        <f t="shared" si="1"/>
        <v>4.5008147999999997</v>
      </c>
      <c r="H12" s="10">
        <f t="shared" si="2"/>
        <v>7.0878973228346451E-2</v>
      </c>
      <c r="I12" s="10">
        <f t="shared" si="3"/>
        <v>1.4175794645669291</v>
      </c>
      <c r="J12" s="10">
        <f t="shared" si="4"/>
        <v>1.344441829065752</v>
      </c>
      <c r="K12" s="10">
        <f t="shared" si="5"/>
        <v>21.943495736619017</v>
      </c>
      <c r="L12" s="10">
        <f t="shared" si="6"/>
        <v>47.095663274648807</v>
      </c>
      <c r="M12" s="11">
        <v>1.0544</v>
      </c>
      <c r="N12" s="18">
        <v>6.460135074108958E-2</v>
      </c>
      <c r="O12" s="11">
        <v>3.0099999999999998E-2</v>
      </c>
      <c r="P12" s="40">
        <f>AVERAGE(J12:J14)</f>
        <v>1.2817011516869536</v>
      </c>
      <c r="Q12" s="40">
        <f t="shared" ref="Q12:R12" si="9">AVERAGE(K12:K14)</f>
        <v>20.919464977675023</v>
      </c>
      <c r="R12" s="40">
        <f t="shared" si="9"/>
        <v>44.875214333596695</v>
      </c>
    </row>
    <row r="13" spans="1:18" ht="40.5" x14ac:dyDescent="0.3">
      <c r="A13" s="22" t="s">
        <v>75</v>
      </c>
      <c r="B13" s="12">
        <v>20</v>
      </c>
      <c r="C13" s="12">
        <v>5</v>
      </c>
      <c r="D13" s="13">
        <v>0.22800000000000001</v>
      </c>
      <c r="E13" s="13">
        <v>0.22600000000000001</v>
      </c>
      <c r="F13" s="13">
        <f t="shared" si="0"/>
        <v>0.22700000000000001</v>
      </c>
      <c r="G13" s="10">
        <f t="shared" si="1"/>
        <v>4.4708855999999999</v>
      </c>
      <c r="H13" s="10">
        <f t="shared" si="2"/>
        <v>7.0407647244094484E-2</v>
      </c>
      <c r="I13" s="10">
        <f t="shared" si="3"/>
        <v>1.4081529448818897</v>
      </c>
      <c r="J13" s="10">
        <f t="shared" si="4"/>
        <v>1.3009543097578433</v>
      </c>
      <c r="K13" s="10">
        <f t="shared" si="5"/>
        <v>21.23370809545915</v>
      </c>
      <c r="L13" s="10">
        <f t="shared" si="6"/>
        <v>41.294807767797352</v>
      </c>
      <c r="M13" s="11">
        <v>1.0824</v>
      </c>
      <c r="N13" s="18">
        <v>6.6316864607506992E-2</v>
      </c>
      <c r="O13" s="11">
        <v>3.4099999999999998E-2</v>
      </c>
      <c r="P13" s="41"/>
      <c r="Q13" s="41"/>
      <c r="R13" s="41"/>
    </row>
    <row r="14" spans="1:18" ht="40.5" x14ac:dyDescent="0.3">
      <c r="A14" s="22" t="s">
        <v>76</v>
      </c>
      <c r="B14" s="12">
        <v>20</v>
      </c>
      <c r="C14" s="12">
        <v>5</v>
      </c>
      <c r="D14" s="13">
        <v>0.23200000000000001</v>
      </c>
      <c r="E14" s="13">
        <v>0.23</v>
      </c>
      <c r="F14" s="13">
        <f t="shared" si="0"/>
        <v>0.23100000000000001</v>
      </c>
      <c r="G14" s="10">
        <f t="shared" si="1"/>
        <v>4.5506967999999999</v>
      </c>
      <c r="H14" s="10">
        <f>G14/63.5</f>
        <v>7.166451653543307E-2</v>
      </c>
      <c r="I14" s="10">
        <f>H14*B14</f>
        <v>1.4332903307086613</v>
      </c>
      <c r="J14" s="10">
        <f t="shared" si="4"/>
        <v>1.1997073162372656</v>
      </c>
      <c r="K14" s="10">
        <f t="shared" si="5"/>
        <v>19.581191100946903</v>
      </c>
      <c r="L14" s="10">
        <f t="shared" si="6"/>
        <v>46.235171958343912</v>
      </c>
      <c r="M14" s="11">
        <v>1.1947000000000001</v>
      </c>
      <c r="N14" s="18">
        <v>7.3197300578888208E-2</v>
      </c>
      <c r="O14" s="11">
        <v>3.1E-2</v>
      </c>
      <c r="P14" s="42"/>
      <c r="Q14" s="42"/>
      <c r="R14" s="42"/>
    </row>
    <row r="15" spans="1:18" ht="40.5" x14ac:dyDescent="0.3">
      <c r="A15" s="22" t="s">
        <v>77</v>
      </c>
      <c r="B15" s="12">
        <v>20</v>
      </c>
      <c r="C15" s="12">
        <v>5</v>
      </c>
      <c r="D15" s="13">
        <v>0.23200000000000001</v>
      </c>
      <c r="E15" s="13">
        <v>0.22900000000000001</v>
      </c>
      <c r="F15" s="13">
        <f t="shared" si="0"/>
        <v>0.23050000000000001</v>
      </c>
      <c r="G15" s="10">
        <f t="shared" si="1"/>
        <v>4.5407203999999997</v>
      </c>
      <c r="H15" s="10">
        <f t="shared" ref="H15:H17" si="10">G15/63.5</f>
        <v>7.1507407874015744E-2</v>
      </c>
      <c r="I15" s="10">
        <f t="shared" ref="I15:I17" si="11">H15*B15</f>
        <v>1.430148157480315</v>
      </c>
      <c r="J15" s="10">
        <f t="shared" si="4"/>
        <v>1.2420949778359518</v>
      </c>
      <c r="K15" s="10">
        <f t="shared" si="5"/>
        <v>20.273027260360632</v>
      </c>
      <c r="L15" s="10">
        <f t="shared" si="6"/>
        <v>56.978014242243624</v>
      </c>
      <c r="M15" s="11">
        <v>1.1514</v>
      </c>
      <c r="N15" s="18">
        <v>7.0544380921178443E-2</v>
      </c>
      <c r="O15" s="11">
        <v>2.5100000000000001E-2</v>
      </c>
      <c r="P15" s="40">
        <f>AVERAGE(J15:J17)</f>
        <v>1.1661019755083506</v>
      </c>
      <c r="Q15" s="40">
        <f t="shared" ref="Q15:R15" si="12">AVERAGE(K15:K17)</f>
        <v>19.032696822451413</v>
      </c>
      <c r="R15" s="40">
        <f t="shared" si="12"/>
        <v>51.236241672119434</v>
      </c>
    </row>
    <row r="16" spans="1:18" ht="40.5" x14ac:dyDescent="0.3">
      <c r="A16" s="22" t="s">
        <v>78</v>
      </c>
      <c r="B16" s="12">
        <v>20</v>
      </c>
      <c r="C16" s="12">
        <v>5</v>
      </c>
      <c r="D16" s="13">
        <v>0.22500000000000001</v>
      </c>
      <c r="E16" s="13">
        <v>0.22600000000000001</v>
      </c>
      <c r="F16" s="13">
        <f t="shared" si="0"/>
        <v>0.22550000000000001</v>
      </c>
      <c r="G16" s="10">
        <f t="shared" si="1"/>
        <v>4.4409563999999992</v>
      </c>
      <c r="H16" s="10">
        <f t="shared" si="10"/>
        <v>6.9936321259842504E-2</v>
      </c>
      <c r="I16" s="10">
        <f t="shared" si="11"/>
        <v>1.3987264251968501</v>
      </c>
      <c r="J16" s="10">
        <f t="shared" si="4"/>
        <v>1.0432028827542139</v>
      </c>
      <c r="K16" s="10">
        <f t="shared" si="5"/>
        <v>17.026782055756922</v>
      </c>
      <c r="L16" s="10">
        <f t="shared" si="6"/>
        <v>50.495538815770765</v>
      </c>
      <c r="M16" s="11">
        <v>1.3408</v>
      </c>
      <c r="N16" s="18">
        <v>8.2148606860444714E-2</v>
      </c>
      <c r="O16" s="11">
        <v>2.7699999999999999E-2</v>
      </c>
      <c r="P16" s="41"/>
      <c r="Q16" s="41"/>
      <c r="R16" s="41"/>
    </row>
    <row r="17" spans="1:18" ht="40.5" x14ac:dyDescent="0.3">
      <c r="A17" s="22" t="s">
        <v>79</v>
      </c>
      <c r="B17" s="12">
        <v>20</v>
      </c>
      <c r="C17" s="12">
        <v>5</v>
      </c>
      <c r="D17" s="13">
        <v>0.23400000000000001</v>
      </c>
      <c r="E17" s="13">
        <v>0.22800000000000001</v>
      </c>
      <c r="F17" s="13">
        <f t="shared" si="0"/>
        <v>0.23100000000000001</v>
      </c>
      <c r="G17" s="10">
        <f t="shared" si="1"/>
        <v>4.5506967999999999</v>
      </c>
      <c r="H17" s="10">
        <f t="shared" si="10"/>
        <v>7.166451653543307E-2</v>
      </c>
      <c r="I17" s="10">
        <f t="shared" si="11"/>
        <v>1.4332903307086613</v>
      </c>
      <c r="J17" s="10">
        <f t="shared" si="4"/>
        <v>1.2130080659348861</v>
      </c>
      <c r="K17" s="10">
        <f t="shared" si="5"/>
        <v>19.798281151236683</v>
      </c>
      <c r="L17" s="10">
        <f t="shared" si="6"/>
        <v>46.235171958343912</v>
      </c>
      <c r="M17" s="11">
        <v>1.1816</v>
      </c>
      <c r="N17" s="18">
        <v>7.2394685162814346E-2</v>
      </c>
      <c r="O17" s="11">
        <v>3.1E-2</v>
      </c>
      <c r="P17" s="42"/>
      <c r="Q17" s="42"/>
      <c r="R17" s="42"/>
    </row>
    <row r="22" spans="1:18" ht="20.25" x14ac:dyDescent="0.3">
      <c r="A22" s="24" t="s">
        <v>83</v>
      </c>
      <c r="B22" s="16" t="s">
        <v>88</v>
      </c>
      <c r="C22" s="16" t="s">
        <v>85</v>
      </c>
    </row>
    <row r="23" spans="1:18" ht="40.5" x14ac:dyDescent="0.3">
      <c r="A23" s="24" t="s">
        <v>86</v>
      </c>
      <c r="B23" s="17" t="s">
        <v>68</v>
      </c>
      <c r="C23" s="16" t="s">
        <v>87</v>
      </c>
    </row>
    <row r="24" spans="1:18" ht="20.25" x14ac:dyDescent="0.3">
      <c r="A24" s="16">
        <v>1</v>
      </c>
      <c r="B24" s="16">
        <f>A24*10</f>
        <v>10</v>
      </c>
      <c r="C24" s="16">
        <v>0.105</v>
      </c>
    </row>
    <row r="25" spans="1:18" ht="20.25" x14ac:dyDescent="0.3">
      <c r="A25" s="16">
        <v>1.5</v>
      </c>
      <c r="B25" s="16">
        <f t="shared" ref="B25:B28" si="13">A25*10</f>
        <v>15</v>
      </c>
      <c r="C25" s="16">
        <v>0.151</v>
      </c>
    </row>
    <row r="26" spans="1:18" ht="20.25" x14ac:dyDescent="0.3">
      <c r="A26" s="16">
        <v>2</v>
      </c>
      <c r="B26" s="16">
        <f t="shared" si="13"/>
        <v>20</v>
      </c>
      <c r="C26" s="16">
        <v>0.20300000000000001</v>
      </c>
    </row>
    <row r="27" spans="1:18" ht="20.25" x14ac:dyDescent="0.3">
      <c r="A27" s="16">
        <v>2.5</v>
      </c>
      <c r="B27" s="16">
        <f t="shared" si="13"/>
        <v>25</v>
      </c>
      <c r="C27" s="16">
        <v>0.254</v>
      </c>
    </row>
    <row r="28" spans="1:18" ht="20.25" x14ac:dyDescent="0.3">
      <c r="A28" s="16">
        <v>3</v>
      </c>
      <c r="B28" s="16">
        <f t="shared" si="13"/>
        <v>30</v>
      </c>
      <c r="C28" s="16">
        <v>0.30399999999999999</v>
      </c>
    </row>
  </sheetData>
  <mergeCells count="15">
    <mergeCell ref="P3:P5"/>
    <mergeCell ref="Q3:Q5"/>
    <mergeCell ref="R3:R5"/>
    <mergeCell ref="P6:P8"/>
    <mergeCell ref="Q6:Q8"/>
    <mergeCell ref="R6:R8"/>
    <mergeCell ref="P15:P17"/>
    <mergeCell ref="Q15:Q17"/>
    <mergeCell ref="R15:R17"/>
    <mergeCell ref="P9:P11"/>
    <mergeCell ref="Q9:Q11"/>
    <mergeCell ref="R9:R11"/>
    <mergeCell ref="P12:P14"/>
    <mergeCell ref="Q12:Q14"/>
    <mergeCell ref="R12:R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AAA5-02AE-43DC-B23B-205B0CAD26C9}">
  <dimension ref="A2:O24"/>
  <sheetViews>
    <sheetView workbookViewId="0">
      <selection activeCell="J12" sqref="J12:K14"/>
    </sheetView>
  </sheetViews>
  <sheetFormatPr defaultRowHeight="15" x14ac:dyDescent="0.25"/>
  <cols>
    <col min="1" max="1" width="21.28515625" customWidth="1"/>
    <col min="2" max="2" width="12.42578125" customWidth="1"/>
    <col min="3" max="3" width="11.5703125" bestFit="1" customWidth="1"/>
    <col min="4" max="5" width="10" bestFit="1" customWidth="1"/>
    <col min="6" max="6" width="11.42578125" customWidth="1"/>
    <col min="7" max="9" width="12.28515625" bestFit="1" customWidth="1"/>
    <col min="10" max="10" width="19.7109375" customWidth="1"/>
    <col min="11" max="11" width="17.5703125" customWidth="1"/>
    <col min="12" max="12" width="18.28515625" customWidth="1"/>
    <col min="13" max="13" width="17.28515625" customWidth="1"/>
    <col min="14" max="14" width="30.5703125" customWidth="1"/>
    <col min="15" max="15" width="31.85546875" customWidth="1"/>
  </cols>
  <sheetData>
    <row r="2" spans="1:15" ht="81" x14ac:dyDescent="0.3">
      <c r="A2" s="10" t="s">
        <v>0</v>
      </c>
      <c r="B2" s="28" t="s">
        <v>38</v>
      </c>
      <c r="C2" s="10" t="s">
        <v>39</v>
      </c>
      <c r="D2" s="10" t="s">
        <v>40</v>
      </c>
      <c r="E2" s="10" t="s">
        <v>41</v>
      </c>
      <c r="F2" s="10" t="s">
        <v>42</v>
      </c>
      <c r="G2" s="10" t="s">
        <v>43</v>
      </c>
      <c r="H2" s="10" t="s">
        <v>44</v>
      </c>
      <c r="I2" s="10" t="s">
        <v>45</v>
      </c>
      <c r="J2" s="10" t="s">
        <v>93</v>
      </c>
      <c r="K2" s="10" t="s">
        <v>94</v>
      </c>
      <c r="L2" s="10" t="s">
        <v>50</v>
      </c>
      <c r="M2" s="10" t="s">
        <v>51</v>
      </c>
      <c r="N2" s="10" t="s">
        <v>52</v>
      </c>
      <c r="O2" s="10" t="s">
        <v>53</v>
      </c>
    </row>
    <row r="3" spans="1:15" ht="20.25" x14ac:dyDescent="0.3">
      <c r="A3" s="10" t="s">
        <v>95</v>
      </c>
      <c r="B3" s="28">
        <f>25+7*0.5+32*0.05+3*0.05+2*0.05+0.033</f>
        <v>30.383000000000003</v>
      </c>
      <c r="C3" s="12">
        <v>10</v>
      </c>
      <c r="D3" s="10">
        <v>4.3999999999999997E-2</v>
      </c>
      <c r="E3" s="10">
        <v>4.3999999999999997E-2</v>
      </c>
      <c r="F3" s="13">
        <f t="shared" ref="F3:F5" si="0">AVERAGE(D3:E3)</f>
        <v>4.3999999999999997E-2</v>
      </c>
      <c r="G3" s="10">
        <f>(F3*30.621+0.1068)/C3</f>
        <v>0.1454124</v>
      </c>
      <c r="H3" s="10">
        <f t="shared" ref="H3:H5" si="1">G3/63.5</f>
        <v>2.28995905511811E-3</v>
      </c>
      <c r="I3" s="10">
        <f t="shared" ref="I3:I5" si="2">H3*B3</f>
        <v>6.9575825971653543E-2</v>
      </c>
      <c r="J3" s="10">
        <f>I3/L3</f>
        <v>6.2873509824375146E-2</v>
      </c>
      <c r="K3" s="10">
        <f>I3/M3</f>
        <v>1.038445163756023</v>
      </c>
      <c r="L3" s="10">
        <v>1.1066</v>
      </c>
      <c r="M3" s="10">
        <v>6.7000000000000004E-2</v>
      </c>
      <c r="N3" s="40">
        <f>AVERAGE(J3:J5)</f>
        <v>6.3506178428306734E-2</v>
      </c>
      <c r="O3" s="40">
        <f>AVERAGE(K3:K5)</f>
        <v>1.0363729480871557</v>
      </c>
    </row>
    <row r="4" spans="1:15" ht="20.25" x14ac:dyDescent="0.3">
      <c r="A4" s="10" t="s">
        <v>96</v>
      </c>
      <c r="B4" s="28">
        <f>25+3+5*0.05+0.05+0.017+0.05+0.05+0.017+0.1+0.033+0.05+0.033</f>
        <v>28.650000000000006</v>
      </c>
      <c r="C4" s="12">
        <v>10</v>
      </c>
      <c r="D4" s="10">
        <v>5.2999999999999999E-2</v>
      </c>
      <c r="E4" s="10">
        <v>5.1999999999999998E-2</v>
      </c>
      <c r="F4" s="13">
        <f t="shared" si="0"/>
        <v>5.2499999999999998E-2</v>
      </c>
      <c r="G4" s="10">
        <f t="shared" ref="G4:G14" si="3">(F4*30.621+0.1068)/C4</f>
        <v>0.17144024999999999</v>
      </c>
      <c r="H4" s="10">
        <f t="shared" si="1"/>
        <v>2.6998464566929132E-3</v>
      </c>
      <c r="I4" s="10">
        <f t="shared" si="2"/>
        <v>7.7350600984251977E-2</v>
      </c>
      <c r="J4" s="10">
        <f t="shared" ref="J4:J14" si="4">I4/L4</f>
        <v>6.6429578310075552E-2</v>
      </c>
      <c r="K4" s="10">
        <f t="shared" ref="K4:K14" si="5">I4/M4</f>
        <v>1.0743139025590553</v>
      </c>
      <c r="L4" s="10">
        <v>1.1644000000000001</v>
      </c>
      <c r="M4" s="10">
        <v>7.1999999999999995E-2</v>
      </c>
      <c r="N4" s="41"/>
      <c r="O4" s="41"/>
    </row>
    <row r="5" spans="1:15" ht="20.25" x14ac:dyDescent="0.3">
      <c r="A5" s="10" t="s">
        <v>97</v>
      </c>
      <c r="B5" s="28">
        <f>25+2+7*0.05+0.033</f>
        <v>27.383000000000003</v>
      </c>
      <c r="C5" s="12">
        <v>10</v>
      </c>
      <c r="D5" s="10">
        <v>5.2999999999999999E-2</v>
      </c>
      <c r="E5" s="10">
        <v>5.1999999999999998E-2</v>
      </c>
      <c r="F5" s="13">
        <f t="shared" si="0"/>
        <v>5.2499999999999998E-2</v>
      </c>
      <c r="G5" s="10">
        <f t="shared" si="3"/>
        <v>0.17144024999999999</v>
      </c>
      <c r="H5" s="10">
        <f t="shared" si="1"/>
        <v>2.6998464566929132E-3</v>
      </c>
      <c r="I5" s="10">
        <f t="shared" si="2"/>
        <v>7.3929895523622044E-2</v>
      </c>
      <c r="J5" s="10">
        <f t="shared" si="4"/>
        <v>6.1215447150469525E-2</v>
      </c>
      <c r="K5" s="10">
        <f t="shared" si="5"/>
        <v>0.99635977794638875</v>
      </c>
      <c r="L5" s="10">
        <v>1.2077</v>
      </c>
      <c r="M5" s="10">
        <v>7.4200000000000002E-2</v>
      </c>
      <c r="N5" s="42"/>
      <c r="O5" s="42"/>
    </row>
    <row r="6" spans="1:15" ht="23.25" x14ac:dyDescent="0.4">
      <c r="A6" s="11" t="s">
        <v>54</v>
      </c>
      <c r="B6" s="28">
        <f>25+2+5*0.05+2*0.05</f>
        <v>27.35</v>
      </c>
      <c r="C6" s="12">
        <v>3</v>
      </c>
      <c r="D6" s="13">
        <v>0.107</v>
      </c>
      <c r="E6" s="13">
        <v>0.104</v>
      </c>
      <c r="F6" s="13">
        <f>AVERAGE(D6:E6)</f>
        <v>0.1055</v>
      </c>
      <c r="G6" s="10">
        <f t="shared" si="3"/>
        <v>1.1124384999999999</v>
      </c>
      <c r="H6" s="10">
        <f>G6/63.5</f>
        <v>1.751871653543307E-2</v>
      </c>
      <c r="I6" s="10">
        <f>H6*B6</f>
        <v>0.47913689724409447</v>
      </c>
      <c r="J6" s="10">
        <f t="shared" si="4"/>
        <v>0.38853137953624267</v>
      </c>
      <c r="K6" s="10">
        <f t="shared" si="5"/>
        <v>5.8431328932206643</v>
      </c>
      <c r="L6" s="11">
        <v>1.2332000000000001</v>
      </c>
      <c r="M6" s="11">
        <v>8.2000000000000003E-2</v>
      </c>
      <c r="N6" s="40">
        <f>AVERAGE(J6:J8)</f>
        <v>0.39638124754644483</v>
      </c>
      <c r="O6" s="40">
        <f>AVERAGE(K6:K8)</f>
        <v>6.0312686507935682</v>
      </c>
    </row>
    <row r="7" spans="1:15" ht="23.25" x14ac:dyDescent="0.4">
      <c r="A7" s="11" t="s">
        <v>55</v>
      </c>
      <c r="B7" s="28">
        <f>25+3+5+2*0.05+0.033</f>
        <v>33.133000000000003</v>
      </c>
      <c r="C7" s="12">
        <v>3</v>
      </c>
      <c r="D7" s="13">
        <v>8.3000000000000004E-2</v>
      </c>
      <c r="E7" s="13">
        <v>8.4000000000000005E-2</v>
      </c>
      <c r="F7" s="13">
        <f t="shared" ref="F7:F14" si="6">AVERAGE(D7:E7)</f>
        <v>8.3500000000000005E-2</v>
      </c>
      <c r="G7" s="10">
        <f t="shared" si="3"/>
        <v>0.88788449999999985</v>
      </c>
      <c r="H7" s="10">
        <f t="shared" ref="H7:H13" si="7">G7/63.5</f>
        <v>1.398243307086614E-2</v>
      </c>
      <c r="I7" s="10">
        <f t="shared" ref="I7:I13" si="8">H7*B7</f>
        <v>0.46327995493700785</v>
      </c>
      <c r="J7" s="10">
        <f t="shared" si="4"/>
        <v>0.349328875687685</v>
      </c>
      <c r="K7" s="10">
        <f>I7/M7</f>
        <v>5.2645449424659985</v>
      </c>
      <c r="L7" s="11">
        <v>1.3262</v>
      </c>
      <c r="M7" s="11">
        <v>8.7999999999999995E-2</v>
      </c>
      <c r="N7" s="41"/>
      <c r="O7" s="41"/>
    </row>
    <row r="8" spans="1:15" ht="23.25" x14ac:dyDescent="0.4">
      <c r="A8" s="11" t="s">
        <v>56</v>
      </c>
      <c r="B8" s="28">
        <f>25+2+0.05+0.013+0.033+0.013+0.025+0.025+0.033+0.025+0.017+0.015+0.04+0.02+0.015+0.015</f>
        <v>27.339000000000002</v>
      </c>
      <c r="C8" s="12">
        <v>3</v>
      </c>
      <c r="D8" s="13">
        <v>0.106</v>
      </c>
      <c r="E8" s="13">
        <v>0.108</v>
      </c>
      <c r="F8" s="13">
        <f t="shared" si="6"/>
        <v>0.107</v>
      </c>
      <c r="G8" s="10">
        <f t="shared" si="3"/>
        <v>1.1277489999999999</v>
      </c>
      <c r="H8" s="10">
        <f t="shared" si="7"/>
        <v>1.7759826771653543E-2</v>
      </c>
      <c r="I8" s="10">
        <f t="shared" si="8"/>
        <v>0.48553590411023623</v>
      </c>
      <c r="J8" s="10">
        <f t="shared" si="4"/>
        <v>0.4512834874154068</v>
      </c>
      <c r="K8" s="10">
        <f t="shared" si="5"/>
        <v>6.9861281166940454</v>
      </c>
      <c r="L8" s="11">
        <v>1.0759000000000001</v>
      </c>
      <c r="M8" s="11">
        <v>6.9500000000000006E-2</v>
      </c>
      <c r="N8" s="42"/>
      <c r="O8" s="42"/>
    </row>
    <row r="9" spans="1:15" ht="20.25" x14ac:dyDescent="0.3">
      <c r="A9" s="11" t="s">
        <v>57</v>
      </c>
      <c r="B9" s="28">
        <f>25+3+14*0.02+0.02+2*0.02+0.015+0.015</f>
        <v>28.37</v>
      </c>
      <c r="C9" s="12">
        <v>5</v>
      </c>
      <c r="D9" s="13">
        <v>7.4999999999999997E-2</v>
      </c>
      <c r="E9" s="13">
        <v>7.4999999999999997E-2</v>
      </c>
      <c r="F9" s="13">
        <f t="shared" si="6"/>
        <v>7.4999999999999997E-2</v>
      </c>
      <c r="G9" s="10">
        <f t="shared" si="3"/>
        <v>0.48067499999999991</v>
      </c>
      <c r="H9" s="10">
        <f t="shared" si="7"/>
        <v>7.5696850393700771E-3</v>
      </c>
      <c r="I9" s="10">
        <f t="shared" si="8"/>
        <v>0.2147519645669291</v>
      </c>
      <c r="J9" s="10">
        <f t="shared" si="4"/>
        <v>0.17925873503082565</v>
      </c>
      <c r="K9" s="10">
        <f t="shared" si="5"/>
        <v>2.6578213436501126</v>
      </c>
      <c r="L9" s="11">
        <v>1.198</v>
      </c>
      <c r="M9" s="11">
        <v>8.0799999999999997E-2</v>
      </c>
      <c r="N9" s="40">
        <f>AVERAGE(J9:J11)</f>
        <v>0.19779039609490287</v>
      </c>
      <c r="O9" s="40">
        <f t="shared" ref="O9" si="9">AVERAGE(K9:K11)</f>
        <v>2.9972791507748329</v>
      </c>
    </row>
    <row r="10" spans="1:15" ht="20.25" x14ac:dyDescent="0.3">
      <c r="A10" s="11" t="s">
        <v>58</v>
      </c>
      <c r="B10" s="28">
        <f>25+2+1+40*0.02+18*0.02+11*0.02+0.02</f>
        <v>29.4</v>
      </c>
      <c r="C10" s="12">
        <v>5</v>
      </c>
      <c r="D10" s="13">
        <v>7.4999999999999997E-2</v>
      </c>
      <c r="E10" s="13">
        <v>7.5999999999999998E-2</v>
      </c>
      <c r="F10" s="13">
        <f t="shared" si="6"/>
        <v>7.5499999999999998E-2</v>
      </c>
      <c r="G10" s="10">
        <f t="shared" si="3"/>
        <v>0.48373709999999992</v>
      </c>
      <c r="H10" s="10">
        <f t="shared" si="7"/>
        <v>7.6179070866141717E-3</v>
      </c>
      <c r="I10" s="10">
        <f t="shared" si="8"/>
        <v>0.22396646834645664</v>
      </c>
      <c r="J10" s="10">
        <f t="shared" si="4"/>
        <v>0.19239452654106748</v>
      </c>
      <c r="K10" s="10">
        <f t="shared" si="5"/>
        <v>2.9822432536146026</v>
      </c>
      <c r="L10" s="11">
        <v>1.1640999999999999</v>
      </c>
      <c r="M10" s="11">
        <v>7.51E-2</v>
      </c>
      <c r="N10" s="41"/>
      <c r="O10" s="41"/>
    </row>
    <row r="11" spans="1:15" ht="20.25" x14ac:dyDescent="0.3">
      <c r="A11" s="11" t="s">
        <v>59</v>
      </c>
      <c r="B11" s="28">
        <f>25+1+20*0.02+8*0.02</f>
        <v>26.56</v>
      </c>
      <c r="C11" s="12">
        <v>5</v>
      </c>
      <c r="D11" s="13">
        <v>0.104</v>
      </c>
      <c r="E11" s="13">
        <v>0.10100000000000001</v>
      </c>
      <c r="F11" s="13">
        <f t="shared" si="6"/>
        <v>0.10250000000000001</v>
      </c>
      <c r="G11" s="10">
        <f t="shared" si="3"/>
        <v>0.64909050000000001</v>
      </c>
      <c r="H11" s="10">
        <f t="shared" si="7"/>
        <v>1.0221897637795276E-2</v>
      </c>
      <c r="I11" s="10">
        <f t="shared" si="8"/>
        <v>0.27149360125984251</v>
      </c>
      <c r="J11" s="10">
        <f t="shared" si="4"/>
        <v>0.22171792671281546</v>
      </c>
      <c r="K11" s="10">
        <f t="shared" si="5"/>
        <v>3.3517728550597838</v>
      </c>
      <c r="L11" s="11">
        <v>1.2244999999999999</v>
      </c>
      <c r="M11" s="11">
        <v>8.1000000000000003E-2</v>
      </c>
      <c r="N11" s="42"/>
      <c r="O11" s="42"/>
    </row>
    <row r="12" spans="1:15" ht="20.25" x14ac:dyDescent="0.3">
      <c r="A12" s="11" t="s">
        <v>60</v>
      </c>
      <c r="B12" s="28">
        <f>25+3+20*0.02+8*0.02</f>
        <v>28.56</v>
      </c>
      <c r="C12" s="12">
        <v>10</v>
      </c>
      <c r="D12" s="13">
        <v>9.7000000000000003E-2</v>
      </c>
      <c r="E12" s="13">
        <v>9.5000000000000001E-2</v>
      </c>
      <c r="F12" s="13">
        <f t="shared" si="6"/>
        <v>9.6000000000000002E-2</v>
      </c>
      <c r="G12" s="10">
        <f t="shared" si="3"/>
        <v>0.30464159999999996</v>
      </c>
      <c r="H12" s="10">
        <f t="shared" si="7"/>
        <v>4.7975055118110229E-3</v>
      </c>
      <c r="I12" s="10">
        <f t="shared" si="8"/>
        <v>0.1370167574173228</v>
      </c>
      <c r="J12" s="10">
        <f t="shared" si="4"/>
        <v>0.10505808726983806</v>
      </c>
      <c r="K12" s="10">
        <f t="shared" si="5"/>
        <v>1.6369982965032595</v>
      </c>
      <c r="L12" s="11">
        <v>1.3042</v>
      </c>
      <c r="M12" s="11">
        <v>8.3699999999999997E-2</v>
      </c>
      <c r="N12" s="40">
        <f>AVERAGE(J12:J14)</f>
        <v>0.10641349304569631</v>
      </c>
      <c r="O12" s="40">
        <f t="shared" ref="O12" si="10">AVERAGE(K12:K14)</f>
        <v>1.6571752221951999</v>
      </c>
    </row>
    <row r="13" spans="1:15" ht="20.25" x14ac:dyDescent="0.3">
      <c r="A13" s="11" t="s">
        <v>61</v>
      </c>
      <c r="B13" s="28">
        <f>25+2+5*0.02+0.02+30*0.02+26*0.02</f>
        <v>28.240000000000002</v>
      </c>
      <c r="C13" s="12">
        <v>10</v>
      </c>
      <c r="D13" s="13">
        <v>0.10100000000000001</v>
      </c>
      <c r="E13" s="13">
        <v>0.10100000000000001</v>
      </c>
      <c r="F13" s="13">
        <f t="shared" si="6"/>
        <v>0.10100000000000001</v>
      </c>
      <c r="G13" s="10">
        <f t="shared" si="3"/>
        <v>0.31995209999999996</v>
      </c>
      <c r="H13" s="10">
        <f t="shared" si="7"/>
        <v>5.0386157480314959E-3</v>
      </c>
      <c r="I13" s="10">
        <f t="shared" si="8"/>
        <v>0.14229050872440946</v>
      </c>
      <c r="J13" s="10">
        <f t="shared" si="4"/>
        <v>0.11152167781519669</v>
      </c>
      <c r="K13" s="10">
        <f t="shared" si="5"/>
        <v>1.7416218938116215</v>
      </c>
      <c r="L13" s="11">
        <v>1.2759</v>
      </c>
      <c r="M13" s="11">
        <v>8.1699999999999995E-2</v>
      </c>
      <c r="N13" s="41"/>
      <c r="O13" s="41"/>
    </row>
    <row r="14" spans="1:15" ht="20.25" x14ac:dyDescent="0.3">
      <c r="A14" s="11" t="s">
        <v>62</v>
      </c>
      <c r="B14" s="28">
        <f>25.02+3+5*0.02+17*0.02</f>
        <v>28.46</v>
      </c>
      <c r="C14" s="12">
        <v>10</v>
      </c>
      <c r="D14" s="13">
        <v>8.5999999999999993E-2</v>
      </c>
      <c r="E14" s="13">
        <v>8.5999999999999993E-2</v>
      </c>
      <c r="F14" s="13">
        <f t="shared" si="6"/>
        <v>8.5999999999999993E-2</v>
      </c>
      <c r="G14" s="10">
        <f t="shared" si="3"/>
        <v>0.27402059999999995</v>
      </c>
      <c r="H14" s="10">
        <f>G14/63.5</f>
        <v>4.3152850393700778E-3</v>
      </c>
      <c r="I14" s="10">
        <f>H14*B14</f>
        <v>0.12281301222047242</v>
      </c>
      <c r="J14" s="10">
        <f t="shared" si="4"/>
        <v>0.10266071405205419</v>
      </c>
      <c r="K14" s="10">
        <f t="shared" si="5"/>
        <v>1.5929054762707187</v>
      </c>
      <c r="L14" s="11">
        <v>1.1962999999999999</v>
      </c>
      <c r="M14" s="11">
        <v>7.7100000000000002E-2</v>
      </c>
      <c r="N14" s="42"/>
      <c r="O14" s="42"/>
    </row>
    <row r="18" spans="1:3" x14ac:dyDescent="0.25">
      <c r="A18" t="s">
        <v>67</v>
      </c>
      <c r="B18" t="s">
        <v>98</v>
      </c>
    </row>
    <row r="20" spans="1:3" x14ac:dyDescent="0.25">
      <c r="A20">
        <v>0.1</v>
      </c>
      <c r="B20" s="29">
        <f>A20*10</f>
        <v>1</v>
      </c>
      <c r="C20">
        <v>3.1E-2</v>
      </c>
    </row>
    <row r="21" spans="1:3" x14ac:dyDescent="0.25">
      <c r="A21">
        <v>0.3</v>
      </c>
      <c r="B21" s="29">
        <f t="shared" ref="B21:B24" si="11">A21*10</f>
        <v>3</v>
      </c>
      <c r="C21">
        <v>9.2999999999999999E-2</v>
      </c>
    </row>
    <row r="22" spans="1:3" x14ac:dyDescent="0.25">
      <c r="A22">
        <v>0.5</v>
      </c>
      <c r="B22" s="29">
        <f t="shared" si="11"/>
        <v>5</v>
      </c>
      <c r="C22">
        <v>0.158</v>
      </c>
    </row>
    <row r="23" spans="1:3" x14ac:dyDescent="0.25">
      <c r="A23">
        <v>0.7</v>
      </c>
      <c r="B23" s="29">
        <f t="shared" si="11"/>
        <v>7</v>
      </c>
      <c r="C23">
        <v>0.22600000000000001</v>
      </c>
    </row>
    <row r="24" spans="1:3" x14ac:dyDescent="0.25">
      <c r="A24">
        <v>0.9</v>
      </c>
      <c r="B24" s="29">
        <f t="shared" si="11"/>
        <v>9</v>
      </c>
      <c r="C24">
        <v>0.29099999999999998</v>
      </c>
    </row>
  </sheetData>
  <mergeCells count="8">
    <mergeCell ref="N12:N14"/>
    <mergeCell ref="O12:O14"/>
    <mergeCell ref="N3:N5"/>
    <mergeCell ref="O3:O5"/>
    <mergeCell ref="N6:N8"/>
    <mergeCell ref="O6:O8"/>
    <mergeCell ref="N9:N11"/>
    <mergeCell ref="O9:O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C994-891F-441B-A194-65B05F7B96FC}">
  <dimension ref="A3:O31"/>
  <sheetViews>
    <sheetView workbookViewId="0">
      <selection activeCell="N28" sqref="N28"/>
    </sheetView>
  </sheetViews>
  <sheetFormatPr defaultRowHeight="15" x14ac:dyDescent="0.25"/>
  <cols>
    <col min="1" max="1" width="21.28515625" customWidth="1"/>
    <col min="2" max="2" width="12.42578125" customWidth="1"/>
    <col min="3" max="3" width="11.5703125" bestFit="1" customWidth="1"/>
    <col min="4" max="5" width="10" bestFit="1" customWidth="1"/>
    <col min="6" max="6" width="11.42578125" customWidth="1"/>
    <col min="7" max="9" width="12.28515625" bestFit="1" customWidth="1"/>
    <col min="10" max="10" width="19.7109375" customWidth="1"/>
    <col min="11" max="11" width="17.5703125" customWidth="1"/>
    <col min="12" max="12" width="18.28515625" customWidth="1"/>
    <col min="13" max="13" width="17.28515625" customWidth="1"/>
    <col min="14" max="14" width="30.5703125" customWidth="1"/>
    <col min="15" max="15" width="31.85546875" customWidth="1"/>
  </cols>
  <sheetData>
    <row r="3" spans="1:15" ht="81" x14ac:dyDescent="0.3">
      <c r="A3" s="10" t="s">
        <v>0</v>
      </c>
      <c r="B3" s="28" t="s">
        <v>38</v>
      </c>
      <c r="C3" s="10" t="s">
        <v>39</v>
      </c>
      <c r="D3" s="10" t="s">
        <v>40</v>
      </c>
      <c r="E3" s="10" t="s">
        <v>41</v>
      </c>
      <c r="F3" s="10" t="s">
        <v>42</v>
      </c>
      <c r="G3" s="10" t="s">
        <v>43</v>
      </c>
      <c r="H3" s="10" t="s">
        <v>44</v>
      </c>
      <c r="I3" s="10" t="s">
        <v>45</v>
      </c>
      <c r="J3" s="10" t="s">
        <v>99</v>
      </c>
      <c r="K3" s="10" t="s">
        <v>100</v>
      </c>
      <c r="L3" s="10" t="s">
        <v>101</v>
      </c>
      <c r="M3" s="10" t="s">
        <v>102</v>
      </c>
      <c r="N3" s="10" t="s">
        <v>52</v>
      </c>
      <c r="O3" s="10" t="s">
        <v>53</v>
      </c>
    </row>
    <row r="4" spans="1:15" ht="20.25" x14ac:dyDescent="0.3">
      <c r="A4" s="10" t="s">
        <v>95</v>
      </c>
      <c r="B4" s="28">
        <f>25+0.08+0.2+0.4+0.016</f>
        <v>25.695999999999994</v>
      </c>
      <c r="C4" s="12">
        <v>12</v>
      </c>
      <c r="D4" s="10">
        <v>0.08</v>
      </c>
      <c r="E4" s="10">
        <v>7.5999999999999998E-2</v>
      </c>
      <c r="F4" s="13">
        <f t="shared" ref="F4:F6" si="0">AVERAGE(D4:E4)</f>
        <v>7.8E-2</v>
      </c>
      <c r="G4" s="10">
        <f>(F4*19.339+0.1881)/C4</f>
        <v>0.14137849999999999</v>
      </c>
      <c r="H4" s="10">
        <f t="shared" ref="H4:H6" si="1">G4/63.5</f>
        <v>2.2264330708661414E-3</v>
      </c>
      <c r="I4" s="10">
        <f t="shared" ref="I4:I6" si="2">H4*B4</f>
        <v>5.7210424188976358E-2</v>
      </c>
      <c r="J4" s="10">
        <f>I4/L4</f>
        <v>3.3125137044164414E-2</v>
      </c>
      <c r="K4" s="10">
        <f>I4/M4</f>
        <v>0.32617117553578312</v>
      </c>
      <c r="L4" s="10">
        <v>1.7271000000000001</v>
      </c>
      <c r="M4" s="10">
        <v>0.1754</v>
      </c>
      <c r="N4" s="40">
        <f>AVERAGE(J4:J6)</f>
        <v>2.6266867626997301E-2</v>
      </c>
      <c r="O4" s="40">
        <f>AVERAGE(K4:K6)</f>
        <v>0.25763271130085041</v>
      </c>
    </row>
    <row r="5" spans="1:15" ht="20.25" x14ac:dyDescent="0.3">
      <c r="A5" s="10" t="s">
        <v>96</v>
      </c>
      <c r="B5" s="28">
        <f>25+54*0.025+0.025+0.025</f>
        <v>26.4</v>
      </c>
      <c r="C5" s="12">
        <v>12</v>
      </c>
      <c r="D5" s="10">
        <v>4.4999999999999998E-2</v>
      </c>
      <c r="E5" s="10">
        <v>4.8000000000000001E-2</v>
      </c>
      <c r="F5" s="13">
        <f t="shared" si="0"/>
        <v>4.65E-2</v>
      </c>
      <c r="G5" s="10">
        <f>(F5*19.701+0.1788)/C5</f>
        <v>9.1241375E-2</v>
      </c>
      <c r="H5" s="10">
        <f t="shared" si="1"/>
        <v>1.4368720472440945E-3</v>
      </c>
      <c r="I5" s="10">
        <f t="shared" si="2"/>
        <v>3.7933422047244092E-2</v>
      </c>
      <c r="J5" s="10">
        <f t="shared" ref="J5:J14" si="3">I5/L5</f>
        <v>1.9869793120970137E-2</v>
      </c>
      <c r="K5" s="10">
        <f t="shared" ref="K5:K14" si="4">I5/M5</f>
        <v>0.19275112828884192</v>
      </c>
      <c r="L5" s="10">
        <v>1.9091</v>
      </c>
      <c r="M5" s="10">
        <v>0.1968</v>
      </c>
      <c r="N5" s="41"/>
      <c r="O5" s="41"/>
    </row>
    <row r="6" spans="1:15" ht="20.25" x14ac:dyDescent="0.3">
      <c r="A6" s="10" t="s">
        <v>97</v>
      </c>
      <c r="B6" s="28">
        <f>25.01+40*0.025+6*0.025+0.025+0.025+0.025+0.025+0.025+0.0125+3*0.025</f>
        <v>26.372499999999992</v>
      </c>
      <c r="C6" s="12">
        <v>12</v>
      </c>
      <c r="D6" s="10">
        <v>0.06</v>
      </c>
      <c r="E6" s="10">
        <v>6.6000000000000003E-2</v>
      </c>
      <c r="F6" s="13">
        <f t="shared" si="0"/>
        <v>6.3E-2</v>
      </c>
      <c r="G6" s="10">
        <f>(F6*19.701+0.1788)/C6</f>
        <v>0.11833025000000001</v>
      </c>
      <c r="H6" s="10">
        <f t="shared" si="1"/>
        <v>1.8634685039370081E-3</v>
      </c>
      <c r="I6" s="10">
        <f t="shared" si="2"/>
        <v>4.9144323120078728E-2</v>
      </c>
      <c r="J6" s="10">
        <f t="shared" si="3"/>
        <v>2.5805672715857344E-2</v>
      </c>
      <c r="K6" s="10">
        <f t="shared" si="4"/>
        <v>0.25397583007792623</v>
      </c>
      <c r="L6" s="10">
        <v>1.9044000000000001</v>
      </c>
      <c r="M6" s="10">
        <v>0.19350000000000001</v>
      </c>
      <c r="N6" s="42"/>
      <c r="O6" s="42"/>
    </row>
    <row r="7" spans="1:15" ht="23.25" x14ac:dyDescent="0.4">
      <c r="A7" s="11" t="s">
        <v>54</v>
      </c>
      <c r="B7" s="28">
        <f>25+0.4+0.017+0.05+0.017+0.1+0.033+0.017+0.1+0.05</f>
        <v>25.784000000000002</v>
      </c>
      <c r="C7" s="12">
        <v>12</v>
      </c>
      <c r="D7" s="13">
        <v>8.1000000000000003E-2</v>
      </c>
      <c r="E7" s="13">
        <v>8.2000000000000003E-2</v>
      </c>
      <c r="F7" s="13">
        <f>AVERAGE(D7:E7)</f>
        <v>8.1500000000000003E-2</v>
      </c>
      <c r="G7" s="10">
        <f>(F7*19.339+0.1881)/C7</f>
        <v>0.14701904166666666</v>
      </c>
      <c r="H7" s="10">
        <f>G7/63.5</f>
        <v>2.3152604986876641E-3</v>
      </c>
      <c r="I7" s="10">
        <f>H7*B7</f>
        <v>5.9696676698162733E-2</v>
      </c>
      <c r="J7" s="10">
        <f t="shared" si="3"/>
        <v>2.6869818921619812E-2</v>
      </c>
      <c r="K7" s="10">
        <f t="shared" si="4"/>
        <v>0.24967242450088972</v>
      </c>
      <c r="L7" s="11">
        <v>2.2216999999999998</v>
      </c>
      <c r="M7" s="11">
        <v>0.23910000000000001</v>
      </c>
      <c r="N7" s="40">
        <f>AVERAGE(J7:J9)</f>
        <v>3.7725940313958643E-2</v>
      </c>
      <c r="O7" s="40">
        <f>AVERAGE(K7:K9)</f>
        <v>0.35399979821703637</v>
      </c>
    </row>
    <row r="8" spans="1:15" ht="23.25" x14ac:dyDescent="0.4">
      <c r="A8" s="11" t="s">
        <v>55</v>
      </c>
      <c r="B8" s="28">
        <f>25+0.4+0.2+0.033</f>
        <v>25.632999999999999</v>
      </c>
      <c r="C8" s="12">
        <v>12</v>
      </c>
      <c r="D8" s="13">
        <v>0.124</v>
      </c>
      <c r="E8" s="13">
        <v>0.123</v>
      </c>
      <c r="F8" s="13">
        <f t="shared" ref="F8:F14" si="5">AVERAGE(D8:E8)</f>
        <v>0.1235</v>
      </c>
      <c r="G8" s="10">
        <f t="shared" ref="G8" si="6">(F8*19.339+0.1881)/C8</f>
        <v>0.21470554166666664</v>
      </c>
      <c r="H8" s="10">
        <f t="shared" ref="H8:H13" si="7">G8/63.5</f>
        <v>3.3811896325459312E-3</v>
      </c>
      <c r="I8" s="10">
        <f t="shared" ref="I8:I13" si="8">H8*B8</f>
        <v>8.6670033851049849E-2</v>
      </c>
      <c r="J8" s="10">
        <f t="shared" si="3"/>
        <v>3.6240867175851912E-2</v>
      </c>
      <c r="K8" s="10">
        <f>I8/M8</f>
        <v>0.33398856975356395</v>
      </c>
      <c r="L8" s="11">
        <v>2.3915000000000002</v>
      </c>
      <c r="M8" s="11">
        <v>0.25950000000000001</v>
      </c>
      <c r="N8" s="41"/>
      <c r="O8" s="41"/>
    </row>
    <row r="9" spans="1:15" ht="23.25" x14ac:dyDescent="0.4">
      <c r="A9" s="11" t="s">
        <v>56</v>
      </c>
      <c r="B9" s="28">
        <f>25+0.3+0.1+0.1+0.08+0.016+0.01+0.033</f>
        <v>25.639000000000003</v>
      </c>
      <c r="C9" s="12">
        <v>12</v>
      </c>
      <c r="D9" s="13">
        <v>0.14699999999999999</v>
      </c>
      <c r="E9" s="13">
        <v>0.14699999999999999</v>
      </c>
      <c r="F9" s="13">
        <f t="shared" si="5"/>
        <v>0.14699999999999999</v>
      </c>
      <c r="G9" s="10">
        <f>(F9*19.339+0.1881)/C9</f>
        <v>0.25257774999999999</v>
      </c>
      <c r="H9" s="10">
        <f t="shared" si="7"/>
        <v>3.9776023622047239E-3</v>
      </c>
      <c r="I9" s="10">
        <f t="shared" si="8"/>
        <v>0.10198174696456692</v>
      </c>
      <c r="J9" s="10">
        <f t="shared" si="3"/>
        <v>5.0067134844404199E-2</v>
      </c>
      <c r="K9" s="10">
        <f t="shared" si="4"/>
        <v>0.47833840039665537</v>
      </c>
      <c r="L9" s="11">
        <v>2.0369000000000002</v>
      </c>
      <c r="M9" s="11">
        <v>0.2132</v>
      </c>
      <c r="N9" s="42"/>
      <c r="O9" s="42"/>
    </row>
    <row r="10" spans="1:15" ht="20.25" x14ac:dyDescent="0.3">
      <c r="A10" s="11" t="s">
        <v>57</v>
      </c>
      <c r="B10" s="28">
        <f>25+6*0.1+18*0.1+11*0.02+0.02+0.018</f>
        <v>27.658000000000001</v>
      </c>
      <c r="C10" s="12">
        <v>12</v>
      </c>
      <c r="D10" s="13">
        <v>0.108</v>
      </c>
      <c r="E10" s="13">
        <v>0.107</v>
      </c>
      <c r="F10" s="13">
        <f t="shared" si="5"/>
        <v>0.1075</v>
      </c>
      <c r="G10" s="10">
        <f t="shared" ref="G10:G13" si="9">(F10*19.701+0.1788)/C10</f>
        <v>0.19138812499999999</v>
      </c>
      <c r="H10" s="10">
        <f t="shared" si="7"/>
        <v>3.0139862204724408E-3</v>
      </c>
      <c r="I10" s="10">
        <f t="shared" si="8"/>
        <v>8.336083088582677E-2</v>
      </c>
      <c r="J10" s="10">
        <f t="shared" si="3"/>
        <v>3.9453277905166728E-2</v>
      </c>
      <c r="K10" s="10">
        <f t="shared" si="4"/>
        <v>0.3743189532367614</v>
      </c>
      <c r="L10" s="11">
        <v>2.1128999999999998</v>
      </c>
      <c r="M10" s="11">
        <v>0.22270000000000001</v>
      </c>
      <c r="N10" s="40">
        <f>AVERAGE(J10:J12)</f>
        <v>3.7281381343822667E-2</v>
      </c>
      <c r="O10" s="40">
        <f t="shared" ref="O10" si="10">AVERAGE(K10:K12)</f>
        <v>0.35120941228690422</v>
      </c>
    </row>
    <row r="11" spans="1:15" ht="20.25" x14ac:dyDescent="0.3">
      <c r="A11" s="11" t="s">
        <v>58</v>
      </c>
      <c r="B11" s="28">
        <f>25+0.3+0.1+0.05</f>
        <v>25.450000000000003</v>
      </c>
      <c r="C11" s="12">
        <v>12</v>
      </c>
      <c r="D11" s="13">
        <v>0.11</v>
      </c>
      <c r="E11" s="13">
        <v>0.11</v>
      </c>
      <c r="F11" s="13">
        <f t="shared" si="5"/>
        <v>0.11</v>
      </c>
      <c r="G11" s="10">
        <f>(F11*19.339+0.1881)/C11</f>
        <v>0.19294916666666664</v>
      </c>
      <c r="H11" s="10">
        <f t="shared" si="7"/>
        <v>3.0385695538057739E-3</v>
      </c>
      <c r="I11" s="10">
        <f t="shared" si="8"/>
        <v>7.733159514435696E-2</v>
      </c>
      <c r="J11" s="10">
        <f t="shared" si="3"/>
        <v>3.7182226725818328E-2</v>
      </c>
      <c r="K11" s="10">
        <f t="shared" si="4"/>
        <v>0.3519872332469593</v>
      </c>
      <c r="L11" s="11">
        <v>2.0798000000000001</v>
      </c>
      <c r="M11" s="11">
        <v>0.21970000000000001</v>
      </c>
      <c r="N11" s="41"/>
      <c r="O11" s="41"/>
    </row>
    <row r="12" spans="1:15" ht="20.25" x14ac:dyDescent="0.3">
      <c r="A12" s="11" t="s">
        <v>59</v>
      </c>
      <c r="B12" s="28">
        <f>25+25*0.1+0.016</f>
        <v>27.515999999999998</v>
      </c>
      <c r="C12" s="12">
        <v>12</v>
      </c>
      <c r="D12" s="13">
        <v>9.5000000000000001E-2</v>
      </c>
      <c r="E12" s="13">
        <v>9.5000000000000001E-2</v>
      </c>
      <c r="F12" s="13">
        <f t="shared" si="5"/>
        <v>9.5000000000000001E-2</v>
      </c>
      <c r="G12" s="10">
        <f t="shared" si="9"/>
        <v>0.17086625</v>
      </c>
      <c r="H12" s="10">
        <f t="shared" si="7"/>
        <v>2.6908070866141732E-3</v>
      </c>
      <c r="I12" s="10">
        <f t="shared" si="8"/>
        <v>7.4040247795275585E-2</v>
      </c>
      <c r="J12" s="10">
        <f t="shared" si="3"/>
        <v>3.5208639400482945E-2</v>
      </c>
      <c r="K12" s="10">
        <f t="shared" si="4"/>
        <v>0.32732205037699197</v>
      </c>
      <c r="L12" s="11">
        <v>2.1029</v>
      </c>
      <c r="M12" s="11">
        <v>0.22620000000000001</v>
      </c>
      <c r="N12" s="42"/>
      <c r="O12" s="42"/>
    </row>
    <row r="13" spans="1:15" ht="20.25" x14ac:dyDescent="0.3">
      <c r="A13" s="11" t="s">
        <v>60</v>
      </c>
      <c r="B13" s="28">
        <f>25+28*0.1+0.067+0.1</f>
        <v>27.967000000000002</v>
      </c>
      <c r="C13" s="12">
        <v>12</v>
      </c>
      <c r="D13" s="13">
        <v>7.9000000000000001E-2</v>
      </c>
      <c r="E13" s="13">
        <v>7.9000000000000001E-2</v>
      </c>
      <c r="F13" s="13">
        <f t="shared" si="5"/>
        <v>7.9000000000000001E-2</v>
      </c>
      <c r="G13" s="10">
        <f t="shared" si="9"/>
        <v>0.14459825000000001</v>
      </c>
      <c r="H13" s="10">
        <f t="shared" si="7"/>
        <v>2.2771377952755909E-3</v>
      </c>
      <c r="I13" s="10">
        <f t="shared" si="8"/>
        <v>6.368471272047245E-2</v>
      </c>
      <c r="J13" s="10">
        <f t="shared" si="3"/>
        <v>3.2220952552730817E-2</v>
      </c>
      <c r="K13" s="10">
        <f t="shared" si="4"/>
        <v>0.31111242169258646</v>
      </c>
      <c r="L13" s="11">
        <v>1.9764999999999999</v>
      </c>
      <c r="M13" s="11">
        <v>0.20469999999999999</v>
      </c>
      <c r="N13" s="40">
        <f>AVERAGE(J13:J14)</f>
        <v>3.6090318776475866E-2</v>
      </c>
      <c r="O13" s="40">
        <f>AVERAGE(K13:K14)</f>
        <v>0.35029224584736979</v>
      </c>
    </row>
    <row r="14" spans="1:15" ht="20.25" x14ac:dyDescent="0.3">
      <c r="A14" s="11" t="s">
        <v>62</v>
      </c>
      <c r="B14" s="28">
        <f>25+0.2+0.2+0.06+0.08</f>
        <v>25.539999999999996</v>
      </c>
      <c r="C14" s="12">
        <v>12</v>
      </c>
      <c r="D14" s="13">
        <v>0.107</v>
      </c>
      <c r="E14" s="13">
        <v>0.105</v>
      </c>
      <c r="F14" s="13">
        <f t="shared" si="5"/>
        <v>0.106</v>
      </c>
      <c r="G14" s="10">
        <f>(F14*19.339+0.1881)/C14</f>
        <v>0.18650283333333331</v>
      </c>
      <c r="H14" s="10">
        <f>G14/63.5</f>
        <v>2.93705249343832E-3</v>
      </c>
      <c r="I14" s="10">
        <f>H14*B14</f>
        <v>7.5012320682414688E-2</v>
      </c>
      <c r="J14" s="10">
        <f t="shared" si="3"/>
        <v>3.9959685000220908E-2</v>
      </c>
      <c r="K14" s="10">
        <f t="shared" si="4"/>
        <v>0.38947207000215311</v>
      </c>
      <c r="L14" s="11">
        <v>1.8772</v>
      </c>
      <c r="M14" s="11">
        <v>0.19259999999999999</v>
      </c>
      <c r="N14" s="42"/>
      <c r="O14" s="42"/>
    </row>
    <row r="19" spans="1:3" x14ac:dyDescent="0.25">
      <c r="A19" t="s">
        <v>83</v>
      </c>
      <c r="B19" t="s">
        <v>84</v>
      </c>
    </row>
    <row r="21" spans="1:3" x14ac:dyDescent="0.25">
      <c r="A21">
        <v>0.1</v>
      </c>
      <c r="B21">
        <f>A21*10</f>
        <v>1</v>
      </c>
      <c r="C21">
        <v>4.3999999999999997E-2</v>
      </c>
    </row>
    <row r="22" spans="1:3" x14ac:dyDescent="0.25">
      <c r="A22">
        <v>0.2</v>
      </c>
      <c r="B22">
        <f t="shared" ref="B22:B31" si="11">A22*10</f>
        <v>2</v>
      </c>
      <c r="C22">
        <v>9.1999999999999998E-2</v>
      </c>
    </row>
    <row r="23" spans="1:3" x14ac:dyDescent="0.25">
      <c r="A23">
        <v>0.3</v>
      </c>
      <c r="B23">
        <f t="shared" si="11"/>
        <v>3</v>
      </c>
      <c r="C23">
        <v>0.14099999999999999</v>
      </c>
    </row>
    <row r="24" spans="1:3" x14ac:dyDescent="0.25">
      <c r="A24">
        <v>0.4</v>
      </c>
      <c r="B24">
        <f t="shared" si="11"/>
        <v>4</v>
      </c>
      <c r="C24">
        <v>0.191</v>
      </c>
    </row>
    <row r="25" spans="1:3" x14ac:dyDescent="0.25">
      <c r="A25">
        <v>0.5</v>
      </c>
      <c r="B25">
        <f t="shared" si="11"/>
        <v>5</v>
      </c>
      <c r="C25">
        <v>0.248</v>
      </c>
    </row>
    <row r="27" spans="1:3" x14ac:dyDescent="0.25">
      <c r="A27">
        <v>0.1</v>
      </c>
      <c r="B27">
        <f t="shared" si="11"/>
        <v>1</v>
      </c>
      <c r="C27">
        <v>4.2999999999999997E-2</v>
      </c>
    </row>
    <row r="28" spans="1:3" x14ac:dyDescent="0.25">
      <c r="A28">
        <v>0.2</v>
      </c>
      <c r="B28">
        <f t="shared" si="11"/>
        <v>2</v>
      </c>
      <c r="C28">
        <v>9.2999999999999999E-2</v>
      </c>
    </row>
    <row r="29" spans="1:3" x14ac:dyDescent="0.25">
      <c r="A29">
        <v>0.3</v>
      </c>
      <c r="B29">
        <f t="shared" si="11"/>
        <v>3</v>
      </c>
      <c r="C29">
        <v>0.14499999999999999</v>
      </c>
    </row>
    <row r="30" spans="1:3" x14ac:dyDescent="0.25">
      <c r="A30">
        <v>0.4</v>
      </c>
      <c r="B30">
        <f t="shared" si="11"/>
        <v>4</v>
      </c>
      <c r="C30">
        <v>0.19600000000000001</v>
      </c>
    </row>
    <row r="31" spans="1:3" x14ac:dyDescent="0.25">
      <c r="A31">
        <v>0.5</v>
      </c>
      <c r="B31">
        <f t="shared" si="11"/>
        <v>5</v>
      </c>
      <c r="C31">
        <v>0.25</v>
      </c>
    </row>
  </sheetData>
  <mergeCells count="8">
    <mergeCell ref="N13:N14"/>
    <mergeCell ref="O13:O14"/>
    <mergeCell ref="N4:N6"/>
    <mergeCell ref="O4:O6"/>
    <mergeCell ref="N7:N9"/>
    <mergeCell ref="O7:O9"/>
    <mergeCell ref="N10:N12"/>
    <mergeCell ref="O10:O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Масса растений</vt:lpstr>
      <vt:lpstr>pH растворов</vt:lpstr>
      <vt:lpstr>Обработка интактных растений</vt:lpstr>
      <vt:lpstr>Сорбция клеточной стенкой</vt:lpstr>
      <vt:lpstr>Десорбция</vt:lpstr>
      <vt:lpstr>Озоление корней</vt:lpstr>
      <vt:lpstr>Озоление побегов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Никушин</cp:lastModifiedBy>
  <dcterms:created xsi:type="dcterms:W3CDTF">2015-06-05T18:19:34Z</dcterms:created>
  <dcterms:modified xsi:type="dcterms:W3CDTF">2021-11-24T19:58:57Z</dcterms:modified>
</cp:coreProperties>
</file>